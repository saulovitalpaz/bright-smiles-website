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saulo\Desktop\SAULO\Atendimentos\guias ajuda\"/>
    </mc:Choice>
  </mc:AlternateContent>
  <xr:revisionPtr revIDLastSave="0" documentId="13_ncr:1_{9D6630BD-6275-42FE-9DA7-28CEC1A3F8B7}" xr6:coauthVersionLast="47" xr6:coauthVersionMax="47" xr10:uidLastSave="{00000000-0000-0000-0000-000000000000}"/>
  <bookViews>
    <workbookView xWindow="-110" yWindow="-110" windowWidth="38620" windowHeight="21100" xr2:uid="{E114BD7F-8A50-4623-A257-296EB79074B0}"/>
  </bookViews>
  <sheets>
    <sheet name="Planilha1" sheetId="1" r:id="rId1"/>
  </sheets>
  <definedNames>
    <definedName name="_xlnm.Print_Area" localSheetId="0">Planilha1!$A$1:$J$14</definedName>
    <definedName name="_xlnm.Print_Titles" localSheetId="0">Planilha1!$1:$1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4" i="1" l="1"/>
  <c r="I13" i="1"/>
  <c r="I12" i="1"/>
  <c r="I11" i="1"/>
  <c r="I10" i="1"/>
  <c r="I9" i="1"/>
  <c r="I8" i="1"/>
  <c r="I7" i="1"/>
  <c r="I3" i="1"/>
  <c r="I6" i="1"/>
  <c r="I5" i="1"/>
  <c r="I4" i="1"/>
  <c r="I2" i="1"/>
</calcChain>
</file>

<file path=xl/sharedStrings.xml><?xml version="1.0" encoding="utf-8"?>
<sst xmlns="http://schemas.openxmlformats.org/spreadsheetml/2006/main" count="94" uniqueCount="64">
  <si>
    <t>Parâmetro Analisado (Onda/Intervalo)</t>
  </si>
  <si>
    <t>Espécie</t>
  </si>
  <si>
    <t>Resultado do Paciente</t>
  </si>
  <si>
    <t>Resultado Comparativo</t>
  </si>
  <si>
    <t>Frequência Cardíaca (FC)</t>
  </si>
  <si>
    <t>bpm</t>
  </si>
  <si>
    <t>intervalo</t>
  </si>
  <si>
    <t>140-220 bpm</t>
  </si>
  <si>
    <t>Ritmo Cardíaco Normal</t>
  </si>
  <si>
    <t>Ritmo sinusal</t>
  </si>
  <si>
    <t>N/A</t>
  </si>
  <si>
    <t>Gato</t>
  </si>
  <si>
    <t>qualitativo_unico</t>
  </si>
  <si>
    <t>Arritmia sinusal respiratória é incomum em gatos em ambiente clínico, mas pode ser vista em gatos calmos ou em casa com FC</t>
  </si>
  <si>
    <t>Onda P: Amplitude (DII)</t>
  </si>
  <si>
    <t>mV</t>
  </si>
  <si>
    <t>menor_que_estrito</t>
  </si>
  <si>
    <t>0.2</t>
  </si>
  <si>
    <t>Onda P: Duração</t>
  </si>
  <si>
    <t>ms</t>
  </si>
  <si>
    <t>Onda P: Eixo Elétrico Médio (Plano Frontal)</t>
  </si>
  <si>
    <t>graus</t>
  </si>
  <si>
    <t>0° a +90°</t>
  </si>
  <si>
    <t>Intervalo PQ (ou PR)</t>
  </si>
  <si>
    <t>50-90 ms</t>
  </si>
  <si>
    <t>Complexo QRS: Duração</t>
  </si>
  <si>
    <t>Complexo QRS: Amplitude Onda R (em DII)</t>
  </si>
  <si>
    <t>0.9</t>
  </si>
  <si>
    <t>Complexo QRS: Eixo Elétrico Médio (Plano Frontal)</t>
  </si>
  <si>
    <t>0° a +160°</t>
  </si>
  <si>
    <t>Segmento ST</t>
  </si>
  <si>
    <t>Normal: isoelétrico</t>
  </si>
  <si>
    <t>qualitativo_iso</t>
  </si>
  <si>
    <t>Intervalo QT</t>
  </si>
  <si>
    <t>160-220 ms (ou fórmula)</t>
  </si>
  <si>
    <t>intervalo_com_nota</t>
  </si>
  <si>
    <t>Onda T: Amplitude</t>
  </si>
  <si>
    <t>-0.3</t>
  </si>
  <si>
    <t>0.3</t>
  </si>
  <si>
    <t>intervalo_estimado</t>
  </si>
  <si>
    <t>Onda T: Polaridade</t>
  </si>
  <si>
    <t>Variável</t>
  </si>
  <si>
    <t>qualitativo_variavel</t>
  </si>
  <si>
    <r>
      <t>Aumentada (&gt;=40 ms):</t>
    </r>
    <r>
      <rPr>
        <sz val="12"/>
        <color theme="1"/>
        <rFont val="Arial"/>
        <family val="2"/>
      </rPr>
      <t xml:space="preserve"> Sugere Aumento Ventricular ou Distúrbio de Condução Intraventricular. (Livro, p. 71, 105, 282)</t>
    </r>
  </si>
  <si>
    <t>Unidade</t>
  </si>
  <si>
    <t>Ref. Lim. Sup.</t>
  </si>
  <si>
    <t>Ref. Lim. Inf.</t>
  </si>
  <si>
    <t>Valores de Referência</t>
  </si>
  <si>
    <t>Tipo de Comparação</t>
  </si>
  <si>
    <t>Comentários (Baseado no Santilli)</t>
  </si>
  <si>
    <t>A partir de ±0.03 mV</t>
  </si>
  <si>
    <t>&lt;0,2 mV</t>
  </si>
  <si>
    <t>&lt;35 ms</t>
  </si>
  <si>
    <r>
      <t>Taquicardia Sinusal:</t>
    </r>
    <r>
      <rPr>
        <sz val="12"/>
        <color theme="1"/>
        <rFont val="Arial"/>
        <family val="2"/>
      </rPr>
      <t xml:space="preserve"> &gt;220 bpm. Causas: fisiológica (exercício, excitação) ou patológica (hipovolemia, choque, febre, hipertireoidismo, anemia, dor, fármacos), especialmente hipertireoidismo.</t>
    </r>
  </si>
  <si>
    <r>
      <t>Aumentada (&gt;=0.2 mV - P-pulmonale):</t>
    </r>
    <r>
      <rPr>
        <sz val="12"/>
        <color theme="1"/>
        <rFont val="Arial"/>
        <family val="2"/>
      </rPr>
      <t xml:space="preserve"> Sugere Aumento Atrial Direito (AAD). Causas: sobrecarga de volume/pressão atrial direita (ex: insuficiência tricúspide, Defeito do Septo Atrial - DSA), doenças pulmonares crônicas.</t>
    </r>
  </si>
  <si>
    <r>
      <t>Desvio:</t>
    </r>
    <r>
      <rPr>
        <sz val="12"/>
        <color theme="1"/>
        <rFont val="Arial"/>
        <family val="2"/>
      </rPr>
      <t xml:space="preserve"> Pode indicar origem ectópica da onda P, dextrocardia ou posicionamento incorreto dos eletrodos. Variações normais devido ao marca-passo migratório.</t>
    </r>
  </si>
  <si>
    <r>
      <t>Aumentado (&gt;90 ms - Bloqueio AV de 1º grau):</t>
    </r>
    <r>
      <rPr>
        <sz val="12"/>
        <color theme="1"/>
        <rFont val="Arial"/>
        <family val="2"/>
      </rPr>
      <t xml:space="preserve"> Atraso na condução AV. Causas: degeneração/inflamação, neoplasia, fármacos (digitálicos, β-bloqueadores, bloqueadores de Ca2+), hipercalemia, hipervagotonia. Reduzido: ( Sugere pré-excitação ventricular (via acessória).</t>
    </r>
  </si>
  <si>
    <r>
      <t>Aumentada (&gt;=0.9 mV em DII; &gt;1mV em V2, V4):</t>
    </r>
    <r>
      <rPr>
        <sz val="12"/>
        <color theme="1"/>
        <rFont val="Arial"/>
        <family val="2"/>
      </rPr>
      <t xml:space="preserve"> Sugere AVE.</t>
    </r>
    <r>
      <rPr>
        <b/>
        <sz val="12"/>
        <color theme="1"/>
        <rFont val="Arial"/>
        <family val="2"/>
      </rPr>
      <t xml:space="preserve"> Reduzida: </t>
    </r>
    <r>
      <rPr>
        <sz val="12"/>
        <color theme="1"/>
        <rFont val="Arial"/>
        <family val="2"/>
      </rPr>
      <t xml:space="preserve">Pode indicar derrame pleural/pericárdico, pneumotórax, obesidade, hipotireoidismo, fibrose. </t>
    </r>
  </si>
  <si>
    <r>
      <t>Desvio à Direita (+160° a –80°):</t>
    </r>
    <r>
      <rPr>
        <sz val="12"/>
        <color theme="1"/>
        <rFont val="Arial"/>
        <family val="2"/>
      </rPr>
      <t xml:space="preserve"> Sugere AVD.</t>
    </r>
    <r>
      <rPr>
        <b/>
        <sz val="12"/>
        <color theme="1"/>
        <rFont val="Arial"/>
        <family val="2"/>
      </rPr>
      <t xml:space="preserve"> Desvio à Esquerda (0° a –60°): </t>
    </r>
    <r>
      <rPr>
        <sz val="12"/>
        <color theme="1"/>
        <rFont val="Arial"/>
        <family val="2"/>
      </rPr>
      <t>Sugere bloqueio fascicular antero-superior.</t>
    </r>
  </si>
  <si>
    <t>Desvios podem ocorrer com isquemia, miocardite, distúrbios eletrolíticos.</t>
  </si>
  <si>
    <t>Fórmula: 0.41845798 – (0.00181963 × FC) + (0.00000313 × FC²). Prolongado (&gt;240 ms): Fármacos (antiarrítmicos Classe IA, III), hipocalcemia, hipocalemia, hipomagnesemia, hipotermia, bradicardia, doença miocárdica. Risco de Torsades de Pointes. Encurtado: Hipercalcemia, digitálicos.</t>
  </si>
  <si>
    <t>Alterada: Geralmente inespecífica. Apiculação simétrica e alta: Hipercalemia. Pode alterar-se com extrassístoles ventriculares, bloqueios de ramo, aumento ventricular. Geralmente de baixa amplitude.</t>
  </si>
  <si>
    <t xml:space="preserve">Alterações podem ser inespecíficas ou relacionadas a isquemia, distúrbios eletrolíticos (T apiculada na hipercalemia, achatada na hipocalemia). </t>
  </si>
  <si>
    <r>
      <t>Aumentada (&gt;=35ms - P-mitrale):</t>
    </r>
    <r>
      <rPr>
        <sz val="12"/>
        <color theme="1"/>
        <rFont val="Arial"/>
        <family val="2"/>
      </rPr>
      <t xml:space="preserve"> Sugere Aumento Atrial Esquerdo (AAE), frequentemente com morfologia bífida. Causas: sobrecarga de volume/pressão atrial esquerda (ex: insuficiência mitral, hipertensão sistêmica, insuficiência diastólica restritiva). Atrasos na condução intra-atrial também podem causar.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</si>
</sst>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2"/>
      <color rgb="FF1B1C1D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12"/>
      <color rgb="FF575B5F"/>
      <name val="Arial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</cellXfs>
  <cellStyles count="1">
    <cellStyle name="Normal" xfId="0" builtinId="0"/>
  </cellStyles>
  <dxfs count="14"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1B1C1D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auto="1"/>
        </top>
        <bottom style="thin">
          <color auto="1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 outline="0"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C4EEB16-20FA-4316-A327-8D4B87E16A63}" name="ECG" displayName="ECG" ref="A1:J14" totalsRowShown="0" headerRowDxfId="1" dataDxfId="0" headerRowBorderDxfId="13" tableBorderDxfId="12">
  <autoFilter ref="A1:J14" xr:uid="{4C4EEB16-20FA-4316-A327-8D4B87E16A63}"/>
  <tableColumns count="10">
    <tableColumn id="1" xr3:uid="{F0B4AD19-EDFC-4D00-8A28-F0CA4A43F71C}" name="Parâmetro Analisado (Onda/Intervalo)" dataDxfId="11"/>
    <tableColumn id="2" xr3:uid="{38572140-EFBC-4B39-B89E-41A4988FCC54}" name="Espécie" dataDxfId="10"/>
    <tableColumn id="3" xr3:uid="{0FB33F0A-3BA9-479D-918B-65D6A044A2AE}" name="Valores de Referência" dataDxfId="9"/>
    <tableColumn id="4" xr3:uid="{D8BD481E-701E-4318-A5A9-49BBA2453BE3}" name="Ref. Lim. Inf." dataDxfId="8"/>
    <tableColumn id="5" xr3:uid="{E9FC738E-B38F-4E07-BCD9-4DC73A39FEC6}" name="Ref. Lim. Sup." dataDxfId="7"/>
    <tableColumn id="6" xr3:uid="{0BA8B8D4-BBC4-4E43-A614-0E9C764B01F8}" name="Unidade" dataDxfId="6"/>
    <tableColumn id="7" xr3:uid="{895CB010-4FEC-4B5C-90D1-104639C7F20A}" name="Tipo de Comparação" dataDxfId="5"/>
    <tableColumn id="8" xr3:uid="{DA65D2F7-4075-4768-B2FA-AC8CEE938D09}" name="Resultado do Paciente" dataDxfId="4"/>
    <tableColumn id="9" xr3:uid="{C4739E18-6D55-4A79-B700-519F41B3C1E0}" name="Resultado Comparativo" dataDxfId="3"/>
    <tableColumn id="10" xr3:uid="{E37B6106-1B05-40B1-A48F-D062C67FD019}" name="Comentários (Baseado no Santilli)" dataDxfId="2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57E6C0-6E11-440A-B516-A9AA816A383B}">
  <sheetPr>
    <pageSetUpPr fitToPage="1"/>
  </sheetPr>
  <dimension ref="A1:N392"/>
  <sheetViews>
    <sheetView tabSelected="1" zoomScale="87" zoomScaleNormal="87" workbookViewId="0">
      <selection activeCell="H13" sqref="H13"/>
    </sheetView>
  </sheetViews>
  <sheetFormatPr defaultColWidth="20.1796875" defaultRowHeight="15.5" x14ac:dyDescent="0.35"/>
  <cols>
    <col min="1" max="1" width="32.6328125" style="8" customWidth="1"/>
    <col min="2" max="2" width="14.54296875" style="8" bestFit="1" customWidth="1"/>
    <col min="3" max="3" width="21.08984375" style="8" bestFit="1" customWidth="1"/>
    <col min="4" max="4" width="19.453125" style="8" bestFit="1" customWidth="1"/>
    <col min="5" max="5" width="21" style="8" bestFit="1" customWidth="1"/>
    <col min="6" max="6" width="14.7265625" style="8" bestFit="1" customWidth="1"/>
    <col min="7" max="7" width="20.08984375" style="8" bestFit="1" customWidth="1"/>
    <col min="8" max="8" width="20.26953125" style="8" bestFit="1" customWidth="1"/>
    <col min="9" max="9" width="38.90625" style="8" customWidth="1"/>
    <col min="10" max="10" width="101.90625" style="8" customWidth="1"/>
    <col min="11" max="16384" width="20.1796875" style="8"/>
  </cols>
  <sheetData>
    <row r="1" spans="1:14" ht="41.5" customHeight="1" x14ac:dyDescent="0.35">
      <c r="A1" s="1" t="s">
        <v>0</v>
      </c>
      <c r="B1" s="2" t="s">
        <v>1</v>
      </c>
      <c r="C1" s="2" t="s">
        <v>47</v>
      </c>
      <c r="D1" s="2" t="s">
        <v>46</v>
      </c>
      <c r="E1" s="2" t="s">
        <v>45</v>
      </c>
      <c r="F1" s="2" t="s">
        <v>44</v>
      </c>
      <c r="G1" s="2" t="s">
        <v>48</v>
      </c>
      <c r="H1" s="2" t="s">
        <v>2</v>
      </c>
      <c r="I1" s="2" t="s">
        <v>3</v>
      </c>
      <c r="J1" s="3" t="s">
        <v>49</v>
      </c>
    </row>
    <row r="2" spans="1:14" ht="63.5" customHeight="1" x14ac:dyDescent="0.35">
      <c r="A2" s="4" t="s">
        <v>4</v>
      </c>
      <c r="B2" s="4" t="s">
        <v>11</v>
      </c>
      <c r="C2" s="4" t="s">
        <v>7</v>
      </c>
      <c r="D2" s="4">
        <v>140</v>
      </c>
      <c r="E2" s="4">
        <v>220</v>
      </c>
      <c r="F2" s="4" t="s">
        <v>5</v>
      </c>
      <c r="G2" s="4" t="s">
        <v>6</v>
      </c>
      <c r="H2" s="4"/>
      <c r="I2" s="4" t="str">
        <f t="shared" ref="I2" si="0">IF(H2="", "", IF(AND(H2&gt;=D2, H2&lt;=E2), "Normal", IF(H2&lt;D2, "Reduzido", "Aumentado")))</f>
        <v/>
      </c>
      <c r="J2" s="6" t="s">
        <v>53</v>
      </c>
    </row>
    <row r="3" spans="1:14" ht="47" customHeight="1" x14ac:dyDescent="0.35">
      <c r="A3" s="4" t="s">
        <v>8</v>
      </c>
      <c r="B3" s="4" t="s">
        <v>11</v>
      </c>
      <c r="C3" s="4" t="s">
        <v>9</v>
      </c>
      <c r="D3" s="4" t="s">
        <v>9</v>
      </c>
      <c r="E3" s="4" t="s">
        <v>9</v>
      </c>
      <c r="F3" s="4" t="s">
        <v>10</v>
      </c>
      <c r="G3" s="4" t="s">
        <v>12</v>
      </c>
      <c r="H3" s="4"/>
      <c r="I3" s="4" t="str">
        <f>IF(H3="", "", IF(OR(UPPER(H3)=UPPER(D3), UPPER(H3)="ARRITMIA SINUSAL RESPIRATÓRIA", UPPER(H3)=UPPER(E3)), "Normal", "Alterado"))</f>
        <v/>
      </c>
      <c r="J3" s="4" t="s">
        <v>13</v>
      </c>
      <c r="N3" s="9"/>
    </row>
    <row r="4" spans="1:14" ht="70" customHeight="1" x14ac:dyDescent="0.35">
      <c r="A4" s="4" t="s">
        <v>14</v>
      </c>
      <c r="B4" s="4" t="s">
        <v>11</v>
      </c>
      <c r="C4" s="4" t="s">
        <v>51</v>
      </c>
      <c r="D4" s="4"/>
      <c r="E4" s="4" t="s">
        <v>17</v>
      </c>
      <c r="F4" s="4" t="s">
        <v>15</v>
      </c>
      <c r="G4" s="4" t="s">
        <v>16</v>
      </c>
      <c r="H4" s="4"/>
      <c r="I4" s="4" t="str">
        <f t="shared" ref="I4:I5" si="1">IF(H4="", "", IF(H4&lt;E4, "Normal", "Aumentado"))</f>
        <v/>
      </c>
      <c r="J4" s="6" t="s">
        <v>54</v>
      </c>
      <c r="N4" s="10"/>
    </row>
    <row r="5" spans="1:14" ht="95" customHeight="1" x14ac:dyDescent="0.35">
      <c r="A5" s="4" t="s">
        <v>18</v>
      </c>
      <c r="B5" s="4" t="s">
        <v>11</v>
      </c>
      <c r="C5" s="4" t="s">
        <v>52</v>
      </c>
      <c r="D5" s="4"/>
      <c r="E5" s="4">
        <v>35</v>
      </c>
      <c r="F5" s="4" t="s">
        <v>19</v>
      </c>
      <c r="G5" s="4" t="s">
        <v>16</v>
      </c>
      <c r="H5" s="4"/>
      <c r="I5" s="4" t="str">
        <f t="shared" si="1"/>
        <v/>
      </c>
      <c r="J5" s="6" t="s">
        <v>63</v>
      </c>
      <c r="N5" s="10"/>
    </row>
    <row r="6" spans="1:14" ht="56.5" customHeight="1" x14ac:dyDescent="0.35">
      <c r="A6" s="4" t="s">
        <v>20</v>
      </c>
      <c r="B6" s="4" t="s">
        <v>11</v>
      </c>
      <c r="C6" s="4" t="s">
        <v>22</v>
      </c>
      <c r="D6" s="4">
        <v>0</v>
      </c>
      <c r="E6" s="4">
        <v>90</v>
      </c>
      <c r="F6" s="4" t="s">
        <v>21</v>
      </c>
      <c r="G6" s="4" t="s">
        <v>6</v>
      </c>
      <c r="H6" s="4"/>
      <c r="I6" s="11" t="str">
        <f>IF(H6="", "", IF(AND(H6&gt;=D6, H6&lt;=E6), "Normal", IF(H6&lt;D6, "Desvio à Esquerda/Superior", "Desvio à Direita/Inferior")))</f>
        <v/>
      </c>
      <c r="J6" s="6" t="s">
        <v>55</v>
      </c>
      <c r="N6" s="10"/>
    </row>
    <row r="7" spans="1:14" ht="81" customHeight="1" x14ac:dyDescent="0.35">
      <c r="A7" s="5" t="s">
        <v>23</v>
      </c>
      <c r="B7" s="5" t="s">
        <v>11</v>
      </c>
      <c r="C7" s="5" t="s">
        <v>24</v>
      </c>
      <c r="D7" s="5">
        <v>50</v>
      </c>
      <c r="E7" s="5">
        <v>90</v>
      </c>
      <c r="F7" s="5" t="s">
        <v>19</v>
      </c>
      <c r="G7" s="5" t="s">
        <v>6</v>
      </c>
      <c r="H7" s="5"/>
      <c r="I7" s="11" t="str">
        <f>IF(H7="", "", IF(AND(H7&gt;=D7, H7&lt;=E7), "Normal", IF(H7&lt;D7, "Reduzido (Pré-excitação?)", "Aumentado (Bloqueio AV?)")))</f>
        <v/>
      </c>
      <c r="J7" s="7" t="s">
        <v>56</v>
      </c>
      <c r="N7" s="10"/>
    </row>
    <row r="8" spans="1:14" ht="49" customHeight="1" x14ac:dyDescent="0.35">
      <c r="A8" s="4" t="s">
        <v>25</v>
      </c>
      <c r="B8" s="4" t="s">
        <v>11</v>
      </c>
      <c r="C8" s="4"/>
      <c r="D8" s="4"/>
      <c r="E8" s="4">
        <v>40</v>
      </c>
      <c r="F8" s="4" t="s">
        <v>19</v>
      </c>
      <c r="G8" s="4" t="s">
        <v>16</v>
      </c>
      <c r="H8" s="4"/>
      <c r="I8" s="11" t="str">
        <f>IF(H8="", "", IF(H8&lt;E8, "Normal", "Aumentado (Aumento ventricular ou Bloqueio de Ramo?)"))</f>
        <v/>
      </c>
      <c r="J8" s="6" t="s">
        <v>43</v>
      </c>
      <c r="N8" s="10"/>
    </row>
    <row r="9" spans="1:14" ht="62" customHeight="1" x14ac:dyDescent="0.35">
      <c r="A9" s="5" t="s">
        <v>26</v>
      </c>
      <c r="B9" s="5" t="s">
        <v>11</v>
      </c>
      <c r="C9" s="5"/>
      <c r="D9" s="5"/>
      <c r="E9" s="5" t="s">
        <v>27</v>
      </c>
      <c r="F9" s="5" t="s">
        <v>15</v>
      </c>
      <c r="G9" s="5" t="s">
        <v>16</v>
      </c>
      <c r="H9" s="5"/>
      <c r="I9" s="11" t="str">
        <f>IF(H9="", "", IF(H9&lt;E9, "Normal", "Aumentado (Critério AVE?)"))</f>
        <v/>
      </c>
      <c r="J9" s="7" t="s">
        <v>57</v>
      </c>
      <c r="N9" s="10"/>
    </row>
    <row r="10" spans="1:14" ht="53.5" customHeight="1" x14ac:dyDescent="0.35">
      <c r="A10" s="5" t="s">
        <v>28</v>
      </c>
      <c r="B10" s="5" t="s">
        <v>11</v>
      </c>
      <c r="C10" s="5" t="s">
        <v>29</v>
      </c>
      <c r="D10" s="5">
        <v>0</v>
      </c>
      <c r="E10" s="5">
        <v>160</v>
      </c>
      <c r="F10" s="5" t="s">
        <v>21</v>
      </c>
      <c r="G10" s="5" t="s">
        <v>6</v>
      </c>
      <c r="H10" s="5"/>
      <c r="I10" s="11" t="str">
        <f>IF(H10="", "", IF(AND(H10&gt;=D10, H10&lt;=E10), "Normal", IF(H10&lt;D10, "Desvio à Esquerda", "Desvio à Direita")))</f>
        <v/>
      </c>
      <c r="J10" s="7" t="s">
        <v>58</v>
      </c>
      <c r="N10" s="10"/>
    </row>
    <row r="11" spans="1:14" ht="38" customHeight="1" x14ac:dyDescent="0.35">
      <c r="A11" s="4" t="s">
        <v>30</v>
      </c>
      <c r="B11" s="4" t="s">
        <v>11</v>
      </c>
      <c r="C11" s="4" t="s">
        <v>31</v>
      </c>
      <c r="D11" s="4">
        <v>0</v>
      </c>
      <c r="E11" s="4">
        <v>0</v>
      </c>
      <c r="F11" s="4" t="s">
        <v>15</v>
      </c>
      <c r="G11" s="4" t="s">
        <v>32</v>
      </c>
      <c r="H11" s="4"/>
      <c r="I11" s="11" t="str">
        <f>IF(H11="", "", IF(OR(UPPER(H11)="ISOELÉTRICO", H11=0), "Normal", "Desvio ST Presente"))</f>
        <v/>
      </c>
      <c r="J11" s="4" t="s">
        <v>59</v>
      </c>
      <c r="N11" s="10"/>
    </row>
    <row r="12" spans="1:14" ht="74.5" customHeight="1" x14ac:dyDescent="0.35">
      <c r="A12" s="4" t="s">
        <v>33</v>
      </c>
      <c r="B12" s="4" t="s">
        <v>11</v>
      </c>
      <c r="C12" s="4" t="s">
        <v>34</v>
      </c>
      <c r="D12" s="4">
        <v>160</v>
      </c>
      <c r="E12" s="4">
        <v>220</v>
      </c>
      <c r="F12" s="4" t="s">
        <v>19</v>
      </c>
      <c r="G12" s="4" t="s">
        <v>35</v>
      </c>
      <c r="H12" s="4"/>
      <c r="I12" s="11" t="str">
        <f>IF(H12="", "", IF(AND(H12&gt;=D12, H12&lt;=E12), "Normal (Verificar fórmula com FC)", IF(H12&lt;D12, "Encurtado", "Prolongado")))</f>
        <v/>
      </c>
      <c r="J12" s="4" t="s">
        <v>60</v>
      </c>
      <c r="N12" s="10"/>
    </row>
    <row r="13" spans="1:14" ht="62" customHeight="1" x14ac:dyDescent="0.35">
      <c r="A13" s="4" t="s">
        <v>36</v>
      </c>
      <c r="B13" s="4" t="s">
        <v>11</v>
      </c>
      <c r="C13" s="4" t="s">
        <v>50</v>
      </c>
      <c r="D13" s="4" t="s">
        <v>37</v>
      </c>
      <c r="E13" s="4" t="s">
        <v>38</v>
      </c>
      <c r="F13" s="4" t="s">
        <v>15</v>
      </c>
      <c r="G13" s="4" t="s">
        <v>39</v>
      </c>
      <c r="H13" s="4"/>
      <c r="I13" s="11" t="str">
        <f>IF(H13="", "", IF(AND(H13&gt;=D13, H13&lt;=E13), "Normal", "Alterada (Amplitude fora do esperado)"))</f>
        <v/>
      </c>
      <c r="J13" s="4" t="s">
        <v>61</v>
      </c>
      <c r="N13" s="10"/>
    </row>
    <row r="14" spans="1:14" ht="55" customHeight="1" x14ac:dyDescent="0.35">
      <c r="A14" s="4" t="s">
        <v>40</v>
      </c>
      <c r="B14" s="4" t="s">
        <v>11</v>
      </c>
      <c r="C14" s="4" t="s">
        <v>41</v>
      </c>
      <c r="D14" s="4" t="s">
        <v>10</v>
      </c>
      <c r="E14" s="4" t="s">
        <v>10</v>
      </c>
      <c r="F14" s="4" t="s">
        <v>10</v>
      </c>
      <c r="G14" s="4" t="s">
        <v>42</v>
      </c>
      <c r="H14" s="4"/>
      <c r="I14" s="11" t="str">
        <f>IF(H14="","","Avaliação qualitativa")</f>
        <v/>
      </c>
      <c r="J14" s="4" t="s">
        <v>62</v>
      </c>
      <c r="N14" s="10"/>
    </row>
    <row r="15" spans="1:14" x14ac:dyDescent="0.35">
      <c r="A15" s="10"/>
      <c r="I15" s="5"/>
      <c r="N15" s="10"/>
    </row>
    <row r="16" spans="1:14" x14ac:dyDescent="0.35">
      <c r="A16" s="10"/>
      <c r="N16" s="10"/>
    </row>
    <row r="17" spans="1:14" x14ac:dyDescent="0.35">
      <c r="A17" s="10"/>
      <c r="N17" s="10"/>
    </row>
    <row r="18" spans="1:14" x14ac:dyDescent="0.35">
      <c r="A18" s="10"/>
      <c r="N18" s="10"/>
    </row>
    <row r="19" spans="1:14" x14ac:dyDescent="0.35">
      <c r="A19" s="10"/>
      <c r="N19" s="10"/>
    </row>
    <row r="20" spans="1:14" x14ac:dyDescent="0.35">
      <c r="A20" s="10"/>
      <c r="N20" s="10"/>
    </row>
    <row r="21" spans="1:14" x14ac:dyDescent="0.35">
      <c r="A21" s="10"/>
      <c r="N21" s="10"/>
    </row>
    <row r="22" spans="1:14" x14ac:dyDescent="0.35">
      <c r="A22" s="10"/>
      <c r="N22" s="10"/>
    </row>
    <row r="23" spans="1:14" x14ac:dyDescent="0.35">
      <c r="A23" s="10"/>
      <c r="N23" s="10"/>
    </row>
    <row r="24" spans="1:14" x14ac:dyDescent="0.35">
      <c r="A24" s="10"/>
      <c r="N24" s="10"/>
    </row>
    <row r="25" spans="1:14" x14ac:dyDescent="0.35">
      <c r="A25" s="10"/>
      <c r="N25" s="10"/>
    </row>
    <row r="26" spans="1:14" x14ac:dyDescent="0.35">
      <c r="A26" s="10"/>
      <c r="N26" s="10"/>
    </row>
    <row r="27" spans="1:14" x14ac:dyDescent="0.35">
      <c r="A27" s="10"/>
      <c r="N27" s="10"/>
    </row>
    <row r="28" spans="1:14" x14ac:dyDescent="0.35">
      <c r="A28" s="10"/>
      <c r="N28" s="10"/>
    </row>
    <row r="29" spans="1:14" x14ac:dyDescent="0.35">
      <c r="A29" s="10"/>
      <c r="N29" s="10"/>
    </row>
    <row r="30" spans="1:14" x14ac:dyDescent="0.35">
      <c r="A30" s="10"/>
      <c r="N30" s="10"/>
    </row>
    <row r="31" spans="1:14" x14ac:dyDescent="0.35">
      <c r="A31" s="10"/>
      <c r="N31" s="10"/>
    </row>
    <row r="32" spans="1:14" x14ac:dyDescent="0.35">
      <c r="A32" s="10"/>
      <c r="N32" s="10"/>
    </row>
    <row r="33" spans="1:14" x14ac:dyDescent="0.35">
      <c r="A33" s="10"/>
      <c r="N33" s="10"/>
    </row>
    <row r="34" spans="1:14" x14ac:dyDescent="0.35">
      <c r="A34" s="10"/>
      <c r="N34" s="10"/>
    </row>
    <row r="35" spans="1:14" x14ac:dyDescent="0.35">
      <c r="A35" s="10"/>
      <c r="N35" s="10"/>
    </row>
    <row r="36" spans="1:14" x14ac:dyDescent="0.35">
      <c r="A36" s="10"/>
      <c r="N36" s="10"/>
    </row>
    <row r="37" spans="1:14" x14ac:dyDescent="0.35">
      <c r="A37" s="10"/>
      <c r="N37" s="10"/>
    </row>
    <row r="38" spans="1:14" x14ac:dyDescent="0.35">
      <c r="A38" s="10"/>
      <c r="N38" s="10"/>
    </row>
    <row r="39" spans="1:14" x14ac:dyDescent="0.35">
      <c r="A39" s="10"/>
      <c r="N39" s="10"/>
    </row>
    <row r="40" spans="1:14" x14ac:dyDescent="0.35">
      <c r="A40" s="10"/>
      <c r="N40" s="10"/>
    </row>
    <row r="41" spans="1:14" x14ac:dyDescent="0.35">
      <c r="A41" s="10"/>
      <c r="N41" s="10"/>
    </row>
    <row r="42" spans="1:14" x14ac:dyDescent="0.35">
      <c r="A42" s="10"/>
      <c r="N42" s="10"/>
    </row>
    <row r="43" spans="1:14" x14ac:dyDescent="0.35">
      <c r="A43" s="10"/>
      <c r="N43" s="10"/>
    </row>
    <row r="44" spans="1:14" x14ac:dyDescent="0.35">
      <c r="A44" s="10"/>
      <c r="N44" s="10"/>
    </row>
    <row r="45" spans="1:14" x14ac:dyDescent="0.35">
      <c r="A45" s="10"/>
      <c r="N45" s="10"/>
    </row>
    <row r="46" spans="1:14" x14ac:dyDescent="0.35">
      <c r="A46" s="10"/>
      <c r="N46" s="10"/>
    </row>
    <row r="47" spans="1:14" x14ac:dyDescent="0.35">
      <c r="A47" s="10"/>
      <c r="N47" s="10"/>
    </row>
    <row r="48" spans="1:14" x14ac:dyDescent="0.35">
      <c r="A48" s="10"/>
      <c r="N48" s="10"/>
    </row>
    <row r="49" spans="1:14" x14ac:dyDescent="0.35">
      <c r="A49" s="10"/>
      <c r="N49" s="10"/>
    </row>
    <row r="50" spans="1:14" x14ac:dyDescent="0.35">
      <c r="A50" s="10"/>
      <c r="N50" s="10"/>
    </row>
    <row r="51" spans="1:14" x14ac:dyDescent="0.35">
      <c r="A51" s="10"/>
      <c r="N51" s="10"/>
    </row>
    <row r="52" spans="1:14" x14ac:dyDescent="0.35">
      <c r="A52" s="10"/>
      <c r="N52" s="10"/>
    </row>
    <row r="53" spans="1:14" x14ac:dyDescent="0.35">
      <c r="A53" s="10"/>
      <c r="N53" s="10"/>
    </row>
    <row r="54" spans="1:14" x14ac:dyDescent="0.35">
      <c r="A54" s="10"/>
      <c r="N54" s="10"/>
    </row>
    <row r="55" spans="1:14" x14ac:dyDescent="0.35">
      <c r="A55" s="10"/>
      <c r="N55" s="10"/>
    </row>
    <row r="56" spans="1:14" x14ac:dyDescent="0.35">
      <c r="A56" s="10"/>
      <c r="N56" s="10"/>
    </row>
    <row r="57" spans="1:14" x14ac:dyDescent="0.35">
      <c r="A57" s="10"/>
      <c r="N57" s="10"/>
    </row>
    <row r="58" spans="1:14" x14ac:dyDescent="0.35">
      <c r="A58" s="10"/>
      <c r="N58" s="10"/>
    </row>
    <row r="59" spans="1:14" x14ac:dyDescent="0.35">
      <c r="A59" s="10"/>
      <c r="N59" s="10"/>
    </row>
    <row r="60" spans="1:14" x14ac:dyDescent="0.35">
      <c r="A60" s="10"/>
      <c r="N60" s="10"/>
    </row>
    <row r="61" spans="1:14" x14ac:dyDescent="0.35">
      <c r="A61" s="10"/>
      <c r="N61" s="10"/>
    </row>
    <row r="62" spans="1:14" x14ac:dyDescent="0.35">
      <c r="A62" s="10"/>
      <c r="N62" s="10"/>
    </row>
    <row r="63" spans="1:14" x14ac:dyDescent="0.35">
      <c r="A63" s="10"/>
      <c r="N63" s="10"/>
    </row>
    <row r="64" spans="1:14" x14ac:dyDescent="0.35">
      <c r="A64" s="10"/>
      <c r="N64" s="10"/>
    </row>
    <row r="65" spans="1:14" x14ac:dyDescent="0.35">
      <c r="A65" s="10"/>
      <c r="N65" s="10"/>
    </row>
    <row r="66" spans="1:14" x14ac:dyDescent="0.35">
      <c r="A66" s="10"/>
      <c r="N66" s="10"/>
    </row>
    <row r="67" spans="1:14" x14ac:dyDescent="0.35">
      <c r="A67" s="10"/>
      <c r="N67" s="10"/>
    </row>
    <row r="68" spans="1:14" x14ac:dyDescent="0.35">
      <c r="A68" s="10"/>
      <c r="N68" s="10"/>
    </row>
    <row r="69" spans="1:14" x14ac:dyDescent="0.35">
      <c r="A69" s="10"/>
      <c r="N69" s="10"/>
    </row>
    <row r="70" spans="1:14" x14ac:dyDescent="0.35">
      <c r="A70" s="10"/>
      <c r="N70" s="10"/>
    </row>
    <row r="71" spans="1:14" x14ac:dyDescent="0.35">
      <c r="A71" s="10"/>
      <c r="N71" s="10"/>
    </row>
    <row r="72" spans="1:14" x14ac:dyDescent="0.35">
      <c r="A72" s="10"/>
      <c r="N72" s="10"/>
    </row>
    <row r="73" spans="1:14" x14ac:dyDescent="0.35">
      <c r="A73" s="10"/>
      <c r="N73" s="10"/>
    </row>
    <row r="74" spans="1:14" x14ac:dyDescent="0.35">
      <c r="A74" s="10"/>
      <c r="N74" s="10"/>
    </row>
    <row r="75" spans="1:14" x14ac:dyDescent="0.35">
      <c r="A75" s="10"/>
      <c r="N75" s="10"/>
    </row>
    <row r="76" spans="1:14" x14ac:dyDescent="0.35">
      <c r="A76" s="10"/>
      <c r="N76" s="10"/>
    </row>
    <row r="77" spans="1:14" x14ac:dyDescent="0.35">
      <c r="A77" s="10"/>
      <c r="N77" s="10"/>
    </row>
    <row r="78" spans="1:14" x14ac:dyDescent="0.35">
      <c r="A78" s="10"/>
      <c r="N78" s="10"/>
    </row>
    <row r="79" spans="1:14" x14ac:dyDescent="0.35">
      <c r="A79" s="10"/>
      <c r="N79" s="10"/>
    </row>
    <row r="80" spans="1:14" x14ac:dyDescent="0.35">
      <c r="A80" s="10"/>
      <c r="N80" s="10"/>
    </row>
    <row r="81" spans="1:14" x14ac:dyDescent="0.35">
      <c r="A81" s="10"/>
      <c r="N81" s="10"/>
    </row>
    <row r="82" spans="1:14" x14ac:dyDescent="0.35">
      <c r="A82" s="10"/>
      <c r="N82" s="10"/>
    </row>
    <row r="83" spans="1:14" x14ac:dyDescent="0.35">
      <c r="A83" s="10"/>
      <c r="N83" s="10"/>
    </row>
    <row r="84" spans="1:14" x14ac:dyDescent="0.35">
      <c r="A84" s="10"/>
      <c r="N84" s="10"/>
    </row>
    <row r="85" spans="1:14" x14ac:dyDescent="0.35">
      <c r="A85" s="10"/>
      <c r="N85" s="10"/>
    </row>
    <row r="86" spans="1:14" x14ac:dyDescent="0.35">
      <c r="A86" s="10"/>
      <c r="N86" s="10"/>
    </row>
    <row r="87" spans="1:14" x14ac:dyDescent="0.35">
      <c r="A87" s="10"/>
      <c r="N87" s="10"/>
    </row>
    <row r="88" spans="1:14" x14ac:dyDescent="0.35">
      <c r="A88" s="10"/>
      <c r="N88" s="10"/>
    </row>
    <row r="89" spans="1:14" x14ac:dyDescent="0.35">
      <c r="A89" s="10"/>
      <c r="N89" s="10"/>
    </row>
    <row r="90" spans="1:14" x14ac:dyDescent="0.35">
      <c r="A90" s="10"/>
      <c r="N90" s="10"/>
    </row>
    <row r="91" spans="1:14" x14ac:dyDescent="0.35">
      <c r="A91" s="10"/>
      <c r="N91" s="10"/>
    </row>
    <row r="92" spans="1:14" x14ac:dyDescent="0.35">
      <c r="A92" s="10"/>
      <c r="N92" s="10"/>
    </row>
    <row r="93" spans="1:14" x14ac:dyDescent="0.35">
      <c r="A93" s="10"/>
      <c r="N93" s="10"/>
    </row>
    <row r="94" spans="1:14" x14ac:dyDescent="0.35">
      <c r="A94" s="10"/>
      <c r="N94" s="10"/>
    </row>
    <row r="95" spans="1:14" x14ac:dyDescent="0.35">
      <c r="A95" s="10"/>
      <c r="N95" s="10"/>
    </row>
    <row r="96" spans="1:14" x14ac:dyDescent="0.35">
      <c r="A96" s="10"/>
      <c r="N96" s="10"/>
    </row>
    <row r="97" spans="1:14" x14ac:dyDescent="0.35">
      <c r="A97" s="10"/>
      <c r="N97" s="10"/>
    </row>
    <row r="98" spans="1:14" x14ac:dyDescent="0.35">
      <c r="A98" s="10"/>
      <c r="N98" s="10"/>
    </row>
    <row r="99" spans="1:14" x14ac:dyDescent="0.35">
      <c r="A99" s="10"/>
      <c r="N99" s="10"/>
    </row>
    <row r="100" spans="1:14" x14ac:dyDescent="0.35">
      <c r="A100" s="10"/>
      <c r="N100" s="10"/>
    </row>
    <row r="101" spans="1:14" x14ac:dyDescent="0.35">
      <c r="A101" s="10"/>
      <c r="N101" s="10"/>
    </row>
    <row r="102" spans="1:14" x14ac:dyDescent="0.35">
      <c r="A102" s="10"/>
      <c r="N102" s="10"/>
    </row>
    <row r="103" spans="1:14" x14ac:dyDescent="0.35">
      <c r="A103" s="10"/>
      <c r="N103" s="10"/>
    </row>
    <row r="104" spans="1:14" x14ac:dyDescent="0.35">
      <c r="A104" s="10"/>
      <c r="N104" s="10"/>
    </row>
    <row r="105" spans="1:14" x14ac:dyDescent="0.35">
      <c r="A105" s="10"/>
      <c r="N105" s="10"/>
    </row>
    <row r="106" spans="1:14" x14ac:dyDescent="0.35">
      <c r="A106" s="10"/>
      <c r="N106" s="10"/>
    </row>
    <row r="107" spans="1:14" x14ac:dyDescent="0.35">
      <c r="A107" s="10"/>
      <c r="N107" s="10"/>
    </row>
    <row r="108" spans="1:14" x14ac:dyDescent="0.35">
      <c r="A108" s="10"/>
      <c r="N108" s="10"/>
    </row>
    <row r="109" spans="1:14" x14ac:dyDescent="0.35">
      <c r="A109" s="10"/>
      <c r="N109" s="10"/>
    </row>
    <row r="110" spans="1:14" x14ac:dyDescent="0.35">
      <c r="A110" s="10"/>
      <c r="N110" s="10"/>
    </row>
    <row r="111" spans="1:14" x14ac:dyDescent="0.35">
      <c r="A111" s="10"/>
      <c r="N111" s="10"/>
    </row>
    <row r="112" spans="1:14" x14ac:dyDescent="0.35">
      <c r="A112" s="10"/>
      <c r="N112" s="10"/>
    </row>
    <row r="113" spans="1:14" x14ac:dyDescent="0.35">
      <c r="A113" s="10"/>
      <c r="N113" s="10"/>
    </row>
    <row r="114" spans="1:14" x14ac:dyDescent="0.35">
      <c r="A114" s="10"/>
      <c r="N114" s="10"/>
    </row>
    <row r="115" spans="1:14" x14ac:dyDescent="0.35">
      <c r="A115" s="10"/>
      <c r="N115" s="10"/>
    </row>
    <row r="116" spans="1:14" x14ac:dyDescent="0.35">
      <c r="A116" s="10"/>
      <c r="N116" s="10"/>
    </row>
    <row r="117" spans="1:14" x14ac:dyDescent="0.35">
      <c r="A117" s="10"/>
      <c r="N117" s="10"/>
    </row>
    <row r="118" spans="1:14" x14ac:dyDescent="0.35">
      <c r="A118" s="10"/>
      <c r="N118" s="10"/>
    </row>
    <row r="119" spans="1:14" x14ac:dyDescent="0.35">
      <c r="A119" s="10"/>
      <c r="N119" s="10"/>
    </row>
    <row r="120" spans="1:14" x14ac:dyDescent="0.35">
      <c r="A120" s="10"/>
      <c r="N120" s="10"/>
    </row>
    <row r="121" spans="1:14" x14ac:dyDescent="0.35">
      <c r="A121" s="10"/>
      <c r="N121" s="10"/>
    </row>
    <row r="122" spans="1:14" x14ac:dyDescent="0.35">
      <c r="A122" s="10"/>
      <c r="N122" s="10"/>
    </row>
    <row r="123" spans="1:14" x14ac:dyDescent="0.35">
      <c r="A123" s="10"/>
      <c r="N123" s="10"/>
    </row>
    <row r="124" spans="1:14" x14ac:dyDescent="0.35">
      <c r="A124" s="10"/>
      <c r="N124" s="10"/>
    </row>
    <row r="125" spans="1:14" x14ac:dyDescent="0.35">
      <c r="A125" s="10"/>
      <c r="N125" s="10"/>
    </row>
    <row r="126" spans="1:14" x14ac:dyDescent="0.35">
      <c r="A126" s="10"/>
      <c r="N126" s="10"/>
    </row>
    <row r="127" spans="1:14" x14ac:dyDescent="0.35">
      <c r="A127" s="10"/>
      <c r="N127" s="10"/>
    </row>
    <row r="128" spans="1:14" x14ac:dyDescent="0.35">
      <c r="A128" s="10"/>
      <c r="N128" s="10"/>
    </row>
    <row r="129" spans="1:14" x14ac:dyDescent="0.35">
      <c r="A129" s="10"/>
      <c r="N129" s="10"/>
    </row>
    <row r="130" spans="1:14" x14ac:dyDescent="0.35">
      <c r="A130" s="10"/>
      <c r="N130" s="10"/>
    </row>
    <row r="131" spans="1:14" x14ac:dyDescent="0.35">
      <c r="A131" s="10"/>
      <c r="N131" s="10"/>
    </row>
    <row r="132" spans="1:14" x14ac:dyDescent="0.35">
      <c r="A132" s="10"/>
      <c r="N132" s="10"/>
    </row>
    <row r="133" spans="1:14" x14ac:dyDescent="0.35">
      <c r="A133" s="10"/>
      <c r="N133" s="10"/>
    </row>
    <row r="134" spans="1:14" x14ac:dyDescent="0.35">
      <c r="A134" s="10"/>
      <c r="N134" s="10"/>
    </row>
    <row r="135" spans="1:14" x14ac:dyDescent="0.35">
      <c r="A135" s="10"/>
      <c r="N135" s="10"/>
    </row>
    <row r="136" spans="1:14" x14ac:dyDescent="0.35">
      <c r="A136" s="10"/>
      <c r="N136" s="10"/>
    </row>
    <row r="137" spans="1:14" x14ac:dyDescent="0.35">
      <c r="A137" s="10"/>
      <c r="N137" s="10"/>
    </row>
    <row r="138" spans="1:14" x14ac:dyDescent="0.35">
      <c r="A138" s="10"/>
      <c r="N138" s="10"/>
    </row>
    <row r="139" spans="1:14" x14ac:dyDescent="0.35">
      <c r="A139" s="10"/>
      <c r="N139" s="10"/>
    </row>
    <row r="140" spans="1:14" x14ac:dyDescent="0.35">
      <c r="A140" s="10"/>
      <c r="N140" s="10"/>
    </row>
    <row r="141" spans="1:14" x14ac:dyDescent="0.35">
      <c r="A141" s="10"/>
      <c r="N141" s="10"/>
    </row>
    <row r="142" spans="1:14" x14ac:dyDescent="0.35">
      <c r="A142" s="10"/>
      <c r="N142" s="10"/>
    </row>
    <row r="143" spans="1:14" x14ac:dyDescent="0.35">
      <c r="A143" s="10"/>
      <c r="N143" s="10"/>
    </row>
    <row r="144" spans="1:14" x14ac:dyDescent="0.35">
      <c r="A144" s="10"/>
      <c r="N144" s="10"/>
    </row>
    <row r="145" spans="1:14" x14ac:dyDescent="0.35">
      <c r="A145" s="10"/>
      <c r="N145" s="10"/>
    </row>
    <row r="146" spans="1:14" x14ac:dyDescent="0.35">
      <c r="A146" s="10"/>
      <c r="N146" s="10"/>
    </row>
    <row r="147" spans="1:14" x14ac:dyDescent="0.35">
      <c r="A147" s="10"/>
      <c r="N147" s="10"/>
    </row>
    <row r="148" spans="1:14" x14ac:dyDescent="0.35">
      <c r="A148" s="10"/>
      <c r="N148" s="10"/>
    </row>
    <row r="149" spans="1:14" x14ac:dyDescent="0.35">
      <c r="A149" s="10"/>
      <c r="N149" s="10"/>
    </row>
    <row r="150" spans="1:14" x14ac:dyDescent="0.35">
      <c r="A150" s="10"/>
      <c r="N150" s="10"/>
    </row>
    <row r="151" spans="1:14" x14ac:dyDescent="0.35">
      <c r="A151" s="10"/>
      <c r="N151" s="10"/>
    </row>
    <row r="152" spans="1:14" x14ac:dyDescent="0.35">
      <c r="A152" s="10"/>
      <c r="N152" s="10"/>
    </row>
    <row r="153" spans="1:14" x14ac:dyDescent="0.35">
      <c r="A153" s="10"/>
      <c r="N153" s="10"/>
    </row>
    <row r="154" spans="1:14" x14ac:dyDescent="0.35">
      <c r="A154" s="10"/>
      <c r="N154" s="10"/>
    </row>
    <row r="155" spans="1:14" x14ac:dyDescent="0.35">
      <c r="A155" s="10"/>
      <c r="N155" s="10"/>
    </row>
    <row r="156" spans="1:14" x14ac:dyDescent="0.35">
      <c r="A156" s="10"/>
      <c r="N156" s="10"/>
    </row>
    <row r="157" spans="1:14" x14ac:dyDescent="0.35">
      <c r="A157" s="10"/>
      <c r="N157" s="10"/>
    </row>
    <row r="158" spans="1:14" x14ac:dyDescent="0.35">
      <c r="A158" s="10"/>
      <c r="N158" s="10"/>
    </row>
    <row r="159" spans="1:14" x14ac:dyDescent="0.35">
      <c r="A159" s="10"/>
      <c r="N159" s="10"/>
    </row>
    <row r="160" spans="1:14" x14ac:dyDescent="0.35">
      <c r="A160" s="10"/>
      <c r="N160" s="10"/>
    </row>
    <row r="161" spans="1:14" x14ac:dyDescent="0.35">
      <c r="A161" s="10"/>
      <c r="N161" s="10"/>
    </row>
    <row r="162" spans="1:14" x14ac:dyDescent="0.35">
      <c r="A162" s="10"/>
      <c r="N162" s="10"/>
    </row>
    <row r="163" spans="1:14" x14ac:dyDescent="0.35">
      <c r="A163" s="10"/>
      <c r="N163" s="10"/>
    </row>
    <row r="164" spans="1:14" x14ac:dyDescent="0.35">
      <c r="A164" s="10"/>
      <c r="N164" s="10"/>
    </row>
    <row r="165" spans="1:14" x14ac:dyDescent="0.35">
      <c r="A165" s="10"/>
      <c r="N165" s="10"/>
    </row>
    <row r="166" spans="1:14" x14ac:dyDescent="0.35">
      <c r="A166" s="10"/>
      <c r="N166" s="10"/>
    </row>
    <row r="167" spans="1:14" x14ac:dyDescent="0.35">
      <c r="A167" s="10"/>
      <c r="N167" s="10"/>
    </row>
    <row r="168" spans="1:14" x14ac:dyDescent="0.35">
      <c r="A168" s="10"/>
      <c r="N168" s="10"/>
    </row>
    <row r="169" spans="1:14" x14ac:dyDescent="0.35">
      <c r="A169" s="10"/>
      <c r="N169" s="10"/>
    </row>
    <row r="170" spans="1:14" x14ac:dyDescent="0.35">
      <c r="A170" s="10"/>
      <c r="N170" s="10"/>
    </row>
    <row r="171" spans="1:14" x14ac:dyDescent="0.35">
      <c r="A171" s="10"/>
      <c r="N171" s="10"/>
    </row>
    <row r="172" spans="1:14" x14ac:dyDescent="0.35">
      <c r="A172" s="10"/>
      <c r="N172" s="10"/>
    </row>
    <row r="173" spans="1:14" x14ac:dyDescent="0.35">
      <c r="A173" s="10"/>
      <c r="N173" s="10"/>
    </row>
    <row r="174" spans="1:14" x14ac:dyDescent="0.35">
      <c r="A174" s="10"/>
      <c r="N174" s="10"/>
    </row>
    <row r="175" spans="1:14" x14ac:dyDescent="0.35">
      <c r="A175" s="10"/>
      <c r="N175" s="10"/>
    </row>
    <row r="176" spans="1:14" x14ac:dyDescent="0.35">
      <c r="A176" s="10"/>
      <c r="N176" s="10"/>
    </row>
    <row r="177" spans="1:14" x14ac:dyDescent="0.35">
      <c r="A177" s="10"/>
      <c r="N177" s="10"/>
    </row>
    <row r="178" spans="1:14" x14ac:dyDescent="0.35">
      <c r="A178" s="10"/>
      <c r="N178" s="10"/>
    </row>
    <row r="179" spans="1:14" x14ac:dyDescent="0.35">
      <c r="A179" s="10"/>
      <c r="N179" s="10"/>
    </row>
    <row r="180" spans="1:14" x14ac:dyDescent="0.35">
      <c r="A180" s="10"/>
      <c r="N180" s="10"/>
    </row>
    <row r="181" spans="1:14" x14ac:dyDescent="0.35">
      <c r="A181" s="10"/>
      <c r="N181" s="10"/>
    </row>
    <row r="182" spans="1:14" x14ac:dyDescent="0.35">
      <c r="A182" s="10"/>
      <c r="N182" s="10"/>
    </row>
    <row r="183" spans="1:14" x14ac:dyDescent="0.35">
      <c r="A183" s="10"/>
      <c r="N183" s="10"/>
    </row>
    <row r="184" spans="1:14" x14ac:dyDescent="0.35">
      <c r="A184" s="10"/>
      <c r="N184" s="10"/>
    </row>
    <row r="185" spans="1:14" x14ac:dyDescent="0.35">
      <c r="A185" s="10"/>
      <c r="N185" s="10"/>
    </row>
    <row r="186" spans="1:14" x14ac:dyDescent="0.35">
      <c r="A186" s="10"/>
      <c r="N186" s="10"/>
    </row>
    <row r="187" spans="1:14" x14ac:dyDescent="0.35">
      <c r="A187" s="10"/>
      <c r="N187" s="10"/>
    </row>
    <row r="188" spans="1:14" x14ac:dyDescent="0.35">
      <c r="A188" s="10"/>
      <c r="N188" s="10"/>
    </row>
    <row r="189" spans="1:14" x14ac:dyDescent="0.35">
      <c r="A189" s="10"/>
      <c r="N189" s="10"/>
    </row>
    <row r="190" spans="1:14" x14ac:dyDescent="0.35">
      <c r="A190" s="10"/>
      <c r="N190" s="10"/>
    </row>
    <row r="191" spans="1:14" x14ac:dyDescent="0.35">
      <c r="A191" s="10"/>
      <c r="N191" s="10"/>
    </row>
    <row r="192" spans="1:14" x14ac:dyDescent="0.35">
      <c r="A192" s="10"/>
      <c r="N192" s="10"/>
    </row>
    <row r="193" spans="1:14" x14ac:dyDescent="0.35">
      <c r="A193" s="10"/>
      <c r="N193" s="10"/>
    </row>
    <row r="194" spans="1:14" x14ac:dyDescent="0.35">
      <c r="A194" s="10"/>
      <c r="N194" s="10"/>
    </row>
    <row r="195" spans="1:14" x14ac:dyDescent="0.35">
      <c r="A195" s="10"/>
      <c r="N195" s="10"/>
    </row>
    <row r="196" spans="1:14" x14ac:dyDescent="0.35">
      <c r="A196" s="10"/>
      <c r="N196" s="10"/>
    </row>
    <row r="197" spans="1:14" x14ac:dyDescent="0.35">
      <c r="A197" s="10"/>
      <c r="N197" s="10"/>
    </row>
    <row r="198" spans="1:14" x14ac:dyDescent="0.35">
      <c r="A198" s="10"/>
      <c r="N198" s="10"/>
    </row>
    <row r="199" spans="1:14" x14ac:dyDescent="0.35">
      <c r="A199" s="10"/>
      <c r="N199" s="10"/>
    </row>
    <row r="200" spans="1:14" x14ac:dyDescent="0.35">
      <c r="A200" s="10"/>
      <c r="N200" s="10"/>
    </row>
    <row r="201" spans="1:14" x14ac:dyDescent="0.35">
      <c r="A201" s="10"/>
      <c r="N201" s="10"/>
    </row>
    <row r="202" spans="1:14" x14ac:dyDescent="0.35">
      <c r="A202" s="10"/>
      <c r="N202" s="10"/>
    </row>
    <row r="203" spans="1:14" x14ac:dyDescent="0.35">
      <c r="A203" s="10"/>
      <c r="N203" s="10"/>
    </row>
    <row r="204" spans="1:14" x14ac:dyDescent="0.35">
      <c r="A204" s="10"/>
      <c r="N204" s="10"/>
    </row>
    <row r="205" spans="1:14" x14ac:dyDescent="0.35">
      <c r="A205" s="10"/>
      <c r="N205" s="10"/>
    </row>
    <row r="206" spans="1:14" x14ac:dyDescent="0.35">
      <c r="A206" s="10"/>
      <c r="N206" s="10"/>
    </row>
    <row r="207" spans="1:14" x14ac:dyDescent="0.35">
      <c r="A207" s="10"/>
      <c r="N207" s="10"/>
    </row>
    <row r="208" spans="1:14" x14ac:dyDescent="0.35">
      <c r="A208" s="10"/>
      <c r="N208" s="10"/>
    </row>
    <row r="209" spans="1:14" x14ac:dyDescent="0.35">
      <c r="A209" s="10"/>
      <c r="N209" s="10"/>
    </row>
    <row r="210" spans="1:14" x14ac:dyDescent="0.35">
      <c r="A210" s="10"/>
      <c r="N210" s="10"/>
    </row>
    <row r="211" spans="1:14" x14ac:dyDescent="0.35">
      <c r="A211" s="10"/>
      <c r="N211" s="10"/>
    </row>
    <row r="212" spans="1:14" x14ac:dyDescent="0.35">
      <c r="A212" s="10"/>
      <c r="N212" s="10"/>
    </row>
    <row r="213" spans="1:14" x14ac:dyDescent="0.35">
      <c r="A213" s="10"/>
      <c r="N213" s="10"/>
    </row>
    <row r="214" spans="1:14" x14ac:dyDescent="0.35">
      <c r="A214" s="10"/>
      <c r="N214" s="10"/>
    </row>
    <row r="215" spans="1:14" x14ac:dyDescent="0.35">
      <c r="A215" s="10"/>
      <c r="N215" s="10"/>
    </row>
    <row r="216" spans="1:14" x14ac:dyDescent="0.35">
      <c r="A216" s="10"/>
      <c r="N216" s="10"/>
    </row>
    <row r="217" spans="1:14" x14ac:dyDescent="0.35">
      <c r="A217" s="10"/>
      <c r="N217" s="10"/>
    </row>
    <row r="218" spans="1:14" x14ac:dyDescent="0.35">
      <c r="A218" s="10"/>
      <c r="N218" s="10"/>
    </row>
    <row r="219" spans="1:14" x14ac:dyDescent="0.35">
      <c r="A219" s="10"/>
      <c r="N219" s="10"/>
    </row>
    <row r="220" spans="1:14" x14ac:dyDescent="0.35">
      <c r="A220" s="10"/>
      <c r="N220" s="10"/>
    </row>
    <row r="221" spans="1:14" x14ac:dyDescent="0.35">
      <c r="A221" s="10"/>
      <c r="N221" s="10"/>
    </row>
    <row r="222" spans="1:14" x14ac:dyDescent="0.35">
      <c r="A222" s="10"/>
      <c r="N222" s="10"/>
    </row>
    <row r="223" spans="1:14" x14ac:dyDescent="0.35">
      <c r="A223" s="10"/>
      <c r="N223" s="10"/>
    </row>
    <row r="224" spans="1:14" x14ac:dyDescent="0.35">
      <c r="A224" s="10"/>
      <c r="N224" s="10"/>
    </row>
    <row r="225" spans="1:14" x14ac:dyDescent="0.35">
      <c r="A225" s="10"/>
      <c r="N225" s="10"/>
    </row>
    <row r="226" spans="1:14" x14ac:dyDescent="0.35">
      <c r="A226" s="10"/>
      <c r="N226" s="10"/>
    </row>
    <row r="227" spans="1:14" x14ac:dyDescent="0.35">
      <c r="A227" s="10"/>
      <c r="N227" s="10"/>
    </row>
    <row r="228" spans="1:14" x14ac:dyDescent="0.35">
      <c r="A228" s="10"/>
      <c r="N228" s="10"/>
    </row>
    <row r="229" spans="1:14" x14ac:dyDescent="0.35">
      <c r="A229" s="10"/>
      <c r="N229" s="10"/>
    </row>
    <row r="230" spans="1:14" x14ac:dyDescent="0.35">
      <c r="A230" s="10"/>
      <c r="N230" s="10"/>
    </row>
    <row r="231" spans="1:14" x14ac:dyDescent="0.35">
      <c r="A231" s="10"/>
      <c r="N231" s="10"/>
    </row>
    <row r="232" spans="1:14" x14ac:dyDescent="0.35">
      <c r="A232" s="10"/>
      <c r="N232" s="10"/>
    </row>
    <row r="233" spans="1:14" x14ac:dyDescent="0.35">
      <c r="A233" s="10"/>
      <c r="N233" s="10"/>
    </row>
    <row r="234" spans="1:14" x14ac:dyDescent="0.35">
      <c r="A234" s="10"/>
      <c r="N234" s="10"/>
    </row>
    <row r="235" spans="1:14" x14ac:dyDescent="0.35">
      <c r="A235" s="10"/>
      <c r="N235" s="10"/>
    </row>
    <row r="236" spans="1:14" x14ac:dyDescent="0.35">
      <c r="A236" s="10"/>
      <c r="N236" s="10"/>
    </row>
    <row r="237" spans="1:14" x14ac:dyDescent="0.35">
      <c r="A237" s="10"/>
      <c r="N237" s="10"/>
    </row>
    <row r="238" spans="1:14" x14ac:dyDescent="0.35">
      <c r="A238" s="10"/>
      <c r="N238" s="10"/>
    </row>
    <row r="239" spans="1:14" x14ac:dyDescent="0.35">
      <c r="A239" s="10"/>
      <c r="N239" s="10"/>
    </row>
    <row r="240" spans="1:14" x14ac:dyDescent="0.35">
      <c r="A240" s="10"/>
      <c r="N240" s="10"/>
    </row>
    <row r="241" spans="1:14" x14ac:dyDescent="0.35">
      <c r="A241" s="10"/>
      <c r="N241" s="10"/>
    </row>
    <row r="242" spans="1:14" x14ac:dyDescent="0.35">
      <c r="A242" s="10"/>
      <c r="N242" s="10"/>
    </row>
    <row r="243" spans="1:14" x14ac:dyDescent="0.35">
      <c r="A243" s="10"/>
      <c r="N243" s="10"/>
    </row>
    <row r="244" spans="1:14" x14ac:dyDescent="0.35">
      <c r="A244" s="10"/>
      <c r="N244" s="10"/>
    </row>
    <row r="245" spans="1:14" x14ac:dyDescent="0.35">
      <c r="A245" s="10"/>
      <c r="N245" s="10"/>
    </row>
    <row r="246" spans="1:14" x14ac:dyDescent="0.35">
      <c r="A246" s="10"/>
      <c r="N246" s="10"/>
    </row>
    <row r="247" spans="1:14" x14ac:dyDescent="0.35">
      <c r="A247" s="10"/>
      <c r="N247" s="10"/>
    </row>
    <row r="248" spans="1:14" x14ac:dyDescent="0.35">
      <c r="A248" s="10"/>
      <c r="N248" s="10"/>
    </row>
    <row r="249" spans="1:14" x14ac:dyDescent="0.35">
      <c r="A249" s="10"/>
      <c r="N249" s="10"/>
    </row>
    <row r="250" spans="1:14" x14ac:dyDescent="0.35">
      <c r="A250" s="10"/>
      <c r="N250" s="10"/>
    </row>
    <row r="251" spans="1:14" x14ac:dyDescent="0.35">
      <c r="A251" s="10"/>
      <c r="N251" s="10"/>
    </row>
    <row r="252" spans="1:14" x14ac:dyDescent="0.35">
      <c r="A252" s="10"/>
      <c r="N252" s="10"/>
    </row>
    <row r="253" spans="1:14" x14ac:dyDescent="0.35">
      <c r="A253" s="10"/>
      <c r="N253" s="10"/>
    </row>
    <row r="254" spans="1:14" x14ac:dyDescent="0.35">
      <c r="A254" s="10"/>
      <c r="N254" s="10"/>
    </row>
    <row r="255" spans="1:14" x14ac:dyDescent="0.35">
      <c r="A255" s="10"/>
      <c r="N255" s="10"/>
    </row>
    <row r="256" spans="1:14" x14ac:dyDescent="0.35">
      <c r="A256" s="10"/>
      <c r="N256" s="10"/>
    </row>
    <row r="257" spans="1:14" x14ac:dyDescent="0.35">
      <c r="A257" s="10"/>
      <c r="N257" s="10"/>
    </row>
    <row r="258" spans="1:14" x14ac:dyDescent="0.35">
      <c r="A258" s="10"/>
      <c r="N258" s="10"/>
    </row>
    <row r="259" spans="1:14" x14ac:dyDescent="0.35">
      <c r="A259" s="10"/>
      <c r="N259" s="10"/>
    </row>
    <row r="260" spans="1:14" x14ac:dyDescent="0.35">
      <c r="A260" s="10"/>
      <c r="N260" s="10"/>
    </row>
    <row r="261" spans="1:14" x14ac:dyDescent="0.35">
      <c r="A261" s="10"/>
      <c r="N261" s="10"/>
    </row>
    <row r="262" spans="1:14" x14ac:dyDescent="0.35">
      <c r="A262" s="10"/>
      <c r="N262" s="10"/>
    </row>
    <row r="263" spans="1:14" x14ac:dyDescent="0.35">
      <c r="A263" s="10"/>
      <c r="N263" s="10"/>
    </row>
    <row r="264" spans="1:14" x14ac:dyDescent="0.35">
      <c r="A264" s="10"/>
      <c r="N264" s="10"/>
    </row>
    <row r="265" spans="1:14" x14ac:dyDescent="0.35">
      <c r="A265" s="10"/>
      <c r="N265" s="10"/>
    </row>
    <row r="266" spans="1:14" x14ac:dyDescent="0.35">
      <c r="A266" s="10"/>
      <c r="N266" s="10"/>
    </row>
    <row r="267" spans="1:14" x14ac:dyDescent="0.35">
      <c r="A267" s="10"/>
      <c r="N267" s="10"/>
    </row>
    <row r="268" spans="1:14" x14ac:dyDescent="0.35">
      <c r="A268" s="10"/>
      <c r="N268" s="10"/>
    </row>
    <row r="269" spans="1:14" x14ac:dyDescent="0.35">
      <c r="A269" s="10"/>
      <c r="N269" s="10"/>
    </row>
    <row r="270" spans="1:14" x14ac:dyDescent="0.35">
      <c r="A270" s="10"/>
      <c r="N270" s="10"/>
    </row>
    <row r="271" spans="1:14" x14ac:dyDescent="0.35">
      <c r="A271" s="10"/>
      <c r="N271" s="10"/>
    </row>
    <row r="272" spans="1:14" x14ac:dyDescent="0.35">
      <c r="A272" s="10"/>
      <c r="N272" s="10"/>
    </row>
    <row r="273" spans="1:14" x14ac:dyDescent="0.35">
      <c r="A273" s="10"/>
      <c r="N273" s="10"/>
    </row>
    <row r="274" spans="1:14" x14ac:dyDescent="0.35">
      <c r="A274" s="10"/>
      <c r="N274" s="10"/>
    </row>
    <row r="275" spans="1:14" x14ac:dyDescent="0.35">
      <c r="A275" s="10"/>
      <c r="N275" s="10"/>
    </row>
    <row r="276" spans="1:14" x14ac:dyDescent="0.35">
      <c r="A276" s="10"/>
      <c r="N276" s="10"/>
    </row>
    <row r="277" spans="1:14" x14ac:dyDescent="0.35">
      <c r="A277" s="10"/>
      <c r="N277" s="10"/>
    </row>
    <row r="278" spans="1:14" x14ac:dyDescent="0.35">
      <c r="A278" s="10"/>
      <c r="N278" s="10"/>
    </row>
    <row r="279" spans="1:14" x14ac:dyDescent="0.35">
      <c r="A279" s="10"/>
      <c r="N279" s="10"/>
    </row>
    <row r="280" spans="1:14" x14ac:dyDescent="0.35">
      <c r="A280" s="10"/>
      <c r="N280" s="10"/>
    </row>
    <row r="281" spans="1:14" x14ac:dyDescent="0.35">
      <c r="A281" s="10"/>
      <c r="N281" s="10"/>
    </row>
    <row r="282" spans="1:14" x14ac:dyDescent="0.35">
      <c r="A282" s="10"/>
      <c r="N282" s="10"/>
    </row>
    <row r="283" spans="1:14" x14ac:dyDescent="0.35">
      <c r="A283" s="10"/>
      <c r="N283" s="10"/>
    </row>
    <row r="284" spans="1:14" x14ac:dyDescent="0.35">
      <c r="A284" s="10"/>
      <c r="N284" s="10"/>
    </row>
    <row r="285" spans="1:14" x14ac:dyDescent="0.35">
      <c r="A285" s="10"/>
      <c r="N285" s="10"/>
    </row>
    <row r="286" spans="1:14" x14ac:dyDescent="0.35">
      <c r="A286" s="10"/>
      <c r="N286" s="10"/>
    </row>
    <row r="287" spans="1:14" x14ac:dyDescent="0.35">
      <c r="A287" s="10"/>
      <c r="N287" s="10"/>
    </row>
    <row r="288" spans="1:14" x14ac:dyDescent="0.35">
      <c r="A288" s="10"/>
      <c r="N288" s="10"/>
    </row>
    <row r="289" spans="1:14" x14ac:dyDescent="0.35">
      <c r="A289" s="10"/>
      <c r="N289" s="10"/>
    </row>
    <row r="290" spans="1:14" x14ac:dyDescent="0.35">
      <c r="A290" s="10"/>
      <c r="N290" s="10"/>
    </row>
    <row r="291" spans="1:14" x14ac:dyDescent="0.35">
      <c r="A291" s="10"/>
      <c r="N291" s="10"/>
    </row>
    <row r="292" spans="1:14" x14ac:dyDescent="0.35">
      <c r="A292" s="10"/>
      <c r="N292" s="10"/>
    </row>
    <row r="293" spans="1:14" x14ac:dyDescent="0.35">
      <c r="A293" s="10"/>
      <c r="N293" s="10"/>
    </row>
    <row r="294" spans="1:14" x14ac:dyDescent="0.35">
      <c r="A294" s="10"/>
      <c r="N294" s="10"/>
    </row>
    <row r="295" spans="1:14" x14ac:dyDescent="0.35">
      <c r="A295" s="10"/>
      <c r="N295" s="10"/>
    </row>
    <row r="296" spans="1:14" x14ac:dyDescent="0.35">
      <c r="A296" s="10"/>
      <c r="N296" s="10"/>
    </row>
    <row r="297" spans="1:14" x14ac:dyDescent="0.35">
      <c r="A297" s="10"/>
      <c r="N297" s="10"/>
    </row>
    <row r="298" spans="1:14" x14ac:dyDescent="0.35">
      <c r="A298" s="10"/>
      <c r="N298" s="10"/>
    </row>
    <row r="299" spans="1:14" x14ac:dyDescent="0.35">
      <c r="A299" s="10"/>
      <c r="N299" s="10"/>
    </row>
    <row r="300" spans="1:14" x14ac:dyDescent="0.35">
      <c r="A300" s="10"/>
      <c r="N300" s="10"/>
    </row>
    <row r="301" spans="1:14" x14ac:dyDescent="0.35">
      <c r="A301" s="10"/>
      <c r="N301" s="10"/>
    </row>
    <row r="302" spans="1:14" x14ac:dyDescent="0.35">
      <c r="A302" s="10"/>
      <c r="N302" s="10"/>
    </row>
    <row r="303" spans="1:14" x14ac:dyDescent="0.35">
      <c r="A303" s="10"/>
      <c r="N303" s="10"/>
    </row>
    <row r="304" spans="1:14" x14ac:dyDescent="0.35">
      <c r="A304" s="10"/>
      <c r="N304" s="10"/>
    </row>
    <row r="305" spans="1:14" x14ac:dyDescent="0.35">
      <c r="A305" s="10"/>
      <c r="N305" s="10"/>
    </row>
    <row r="306" spans="1:14" x14ac:dyDescent="0.35">
      <c r="A306" s="10"/>
      <c r="N306" s="10"/>
    </row>
    <row r="307" spans="1:14" x14ac:dyDescent="0.35">
      <c r="A307" s="10"/>
      <c r="N307" s="10"/>
    </row>
    <row r="308" spans="1:14" x14ac:dyDescent="0.35">
      <c r="A308" s="10"/>
      <c r="N308" s="10"/>
    </row>
    <row r="309" spans="1:14" x14ac:dyDescent="0.35">
      <c r="A309" s="10"/>
      <c r="N309" s="10"/>
    </row>
    <row r="310" spans="1:14" x14ac:dyDescent="0.35">
      <c r="A310" s="10"/>
      <c r="N310" s="10"/>
    </row>
    <row r="311" spans="1:14" x14ac:dyDescent="0.35">
      <c r="A311" s="10"/>
      <c r="N311" s="10"/>
    </row>
    <row r="312" spans="1:14" x14ac:dyDescent="0.35">
      <c r="A312" s="10"/>
      <c r="N312" s="10"/>
    </row>
    <row r="313" spans="1:14" x14ac:dyDescent="0.35">
      <c r="A313" s="10"/>
      <c r="N313" s="10"/>
    </row>
    <row r="314" spans="1:14" x14ac:dyDescent="0.35">
      <c r="A314" s="10"/>
      <c r="N314" s="10"/>
    </row>
    <row r="315" spans="1:14" x14ac:dyDescent="0.35">
      <c r="A315" s="10"/>
      <c r="N315" s="10"/>
    </row>
    <row r="316" spans="1:14" x14ac:dyDescent="0.35">
      <c r="A316" s="10"/>
      <c r="N316" s="10"/>
    </row>
    <row r="317" spans="1:14" x14ac:dyDescent="0.35">
      <c r="A317" s="10"/>
      <c r="N317" s="10"/>
    </row>
    <row r="318" spans="1:14" x14ac:dyDescent="0.35">
      <c r="A318" s="10"/>
      <c r="N318" s="10"/>
    </row>
    <row r="319" spans="1:14" x14ac:dyDescent="0.35">
      <c r="A319" s="10"/>
      <c r="N319" s="10"/>
    </row>
    <row r="320" spans="1:14" x14ac:dyDescent="0.35">
      <c r="A320" s="10"/>
      <c r="N320" s="10"/>
    </row>
    <row r="321" spans="1:14" x14ac:dyDescent="0.35">
      <c r="A321" s="10"/>
      <c r="N321" s="10"/>
    </row>
    <row r="322" spans="1:14" x14ac:dyDescent="0.35">
      <c r="A322" s="10"/>
      <c r="N322" s="10"/>
    </row>
    <row r="323" spans="1:14" x14ac:dyDescent="0.35">
      <c r="A323" s="10"/>
      <c r="N323" s="10"/>
    </row>
    <row r="324" spans="1:14" x14ac:dyDescent="0.35">
      <c r="A324" s="10"/>
      <c r="N324" s="10"/>
    </row>
    <row r="325" spans="1:14" x14ac:dyDescent="0.35">
      <c r="A325" s="10"/>
      <c r="N325" s="10"/>
    </row>
    <row r="326" spans="1:14" x14ac:dyDescent="0.35">
      <c r="A326" s="10"/>
      <c r="N326" s="10"/>
    </row>
    <row r="327" spans="1:14" x14ac:dyDescent="0.35">
      <c r="A327" s="10"/>
      <c r="N327" s="10"/>
    </row>
    <row r="328" spans="1:14" x14ac:dyDescent="0.35">
      <c r="A328" s="10"/>
      <c r="N328" s="10"/>
    </row>
    <row r="329" spans="1:14" x14ac:dyDescent="0.35">
      <c r="A329" s="10"/>
      <c r="N329" s="10"/>
    </row>
    <row r="330" spans="1:14" x14ac:dyDescent="0.35">
      <c r="A330" s="10"/>
      <c r="N330" s="10"/>
    </row>
    <row r="331" spans="1:14" x14ac:dyDescent="0.35">
      <c r="A331" s="10"/>
      <c r="N331" s="10"/>
    </row>
    <row r="332" spans="1:14" x14ac:dyDescent="0.35">
      <c r="A332" s="10"/>
      <c r="N332" s="10"/>
    </row>
    <row r="333" spans="1:14" x14ac:dyDescent="0.35">
      <c r="A333" s="10"/>
      <c r="N333" s="10"/>
    </row>
    <row r="334" spans="1:14" x14ac:dyDescent="0.35">
      <c r="A334" s="10"/>
      <c r="N334" s="10"/>
    </row>
    <row r="335" spans="1:14" x14ac:dyDescent="0.35">
      <c r="A335" s="10"/>
      <c r="N335" s="10"/>
    </row>
    <row r="336" spans="1:14" x14ac:dyDescent="0.35">
      <c r="A336" s="10"/>
      <c r="N336" s="10"/>
    </row>
    <row r="337" spans="1:14" x14ac:dyDescent="0.35">
      <c r="A337" s="10"/>
      <c r="N337" s="10"/>
    </row>
    <row r="338" spans="1:14" x14ac:dyDescent="0.35">
      <c r="A338" s="10"/>
      <c r="N338" s="10"/>
    </row>
    <row r="339" spans="1:14" x14ac:dyDescent="0.35">
      <c r="A339" s="10"/>
      <c r="N339" s="10"/>
    </row>
    <row r="340" spans="1:14" x14ac:dyDescent="0.35">
      <c r="A340" s="10"/>
      <c r="N340" s="10"/>
    </row>
    <row r="341" spans="1:14" x14ac:dyDescent="0.35">
      <c r="A341" s="10"/>
      <c r="N341" s="10"/>
    </row>
    <row r="342" spans="1:14" x14ac:dyDescent="0.35">
      <c r="A342" s="10"/>
      <c r="N342" s="10"/>
    </row>
    <row r="343" spans="1:14" x14ac:dyDescent="0.35">
      <c r="A343" s="10"/>
      <c r="N343" s="10"/>
    </row>
    <row r="344" spans="1:14" x14ac:dyDescent="0.35">
      <c r="A344" s="10"/>
      <c r="N344" s="10"/>
    </row>
    <row r="345" spans="1:14" x14ac:dyDescent="0.35">
      <c r="A345" s="10"/>
      <c r="N345" s="10"/>
    </row>
    <row r="346" spans="1:14" x14ac:dyDescent="0.35">
      <c r="A346" s="10"/>
      <c r="N346" s="10"/>
    </row>
    <row r="347" spans="1:14" x14ac:dyDescent="0.35">
      <c r="A347" s="10"/>
      <c r="N347" s="10"/>
    </row>
    <row r="348" spans="1:14" x14ac:dyDescent="0.35">
      <c r="A348" s="10"/>
      <c r="N348" s="10"/>
    </row>
    <row r="349" spans="1:14" x14ac:dyDescent="0.35">
      <c r="A349" s="10"/>
      <c r="N349" s="10"/>
    </row>
    <row r="350" spans="1:14" x14ac:dyDescent="0.35">
      <c r="A350" s="10"/>
      <c r="N350" s="10"/>
    </row>
    <row r="351" spans="1:14" x14ac:dyDescent="0.35">
      <c r="A351" s="10"/>
      <c r="N351" s="10"/>
    </row>
    <row r="352" spans="1:14" x14ac:dyDescent="0.35">
      <c r="A352" s="10"/>
      <c r="N352" s="10"/>
    </row>
    <row r="353" spans="1:14" x14ac:dyDescent="0.35">
      <c r="A353" s="10"/>
      <c r="N353" s="10"/>
    </row>
    <row r="354" spans="1:14" x14ac:dyDescent="0.35">
      <c r="A354" s="10"/>
      <c r="N354" s="10"/>
    </row>
    <row r="355" spans="1:14" x14ac:dyDescent="0.35">
      <c r="A355" s="10"/>
      <c r="N355" s="10"/>
    </row>
    <row r="356" spans="1:14" x14ac:dyDescent="0.35">
      <c r="A356" s="10"/>
      <c r="N356" s="10"/>
    </row>
    <row r="357" spans="1:14" x14ac:dyDescent="0.35">
      <c r="A357" s="10"/>
      <c r="N357" s="10"/>
    </row>
    <row r="358" spans="1:14" x14ac:dyDescent="0.35">
      <c r="A358" s="10"/>
      <c r="N358" s="10"/>
    </row>
    <row r="359" spans="1:14" x14ac:dyDescent="0.35">
      <c r="A359" s="10"/>
      <c r="N359" s="10"/>
    </row>
    <row r="360" spans="1:14" x14ac:dyDescent="0.35">
      <c r="A360" s="10"/>
      <c r="N360" s="10"/>
    </row>
    <row r="361" spans="1:14" x14ac:dyDescent="0.35">
      <c r="A361" s="10"/>
      <c r="N361" s="10"/>
    </row>
    <row r="362" spans="1:14" x14ac:dyDescent="0.35">
      <c r="A362" s="10"/>
      <c r="N362" s="10"/>
    </row>
    <row r="363" spans="1:14" x14ac:dyDescent="0.35">
      <c r="A363" s="10"/>
      <c r="N363" s="10"/>
    </row>
    <row r="364" spans="1:14" x14ac:dyDescent="0.35">
      <c r="A364" s="10"/>
      <c r="N364" s="10"/>
    </row>
    <row r="365" spans="1:14" x14ac:dyDescent="0.35">
      <c r="A365" s="10"/>
      <c r="N365" s="10"/>
    </row>
    <row r="366" spans="1:14" x14ac:dyDescent="0.35">
      <c r="A366" s="10"/>
      <c r="N366" s="10"/>
    </row>
    <row r="367" spans="1:14" x14ac:dyDescent="0.35">
      <c r="A367" s="10"/>
      <c r="N367" s="10"/>
    </row>
    <row r="368" spans="1:14" x14ac:dyDescent="0.35">
      <c r="A368" s="10"/>
      <c r="N368" s="10"/>
    </row>
    <row r="369" spans="1:14" x14ac:dyDescent="0.35">
      <c r="A369" s="10"/>
      <c r="N369" s="10"/>
    </row>
    <row r="370" spans="1:14" x14ac:dyDescent="0.35">
      <c r="A370" s="10"/>
      <c r="N370" s="10"/>
    </row>
    <row r="371" spans="1:14" x14ac:dyDescent="0.35">
      <c r="A371" s="10"/>
      <c r="N371" s="10"/>
    </row>
    <row r="372" spans="1:14" x14ac:dyDescent="0.35">
      <c r="A372" s="10"/>
      <c r="N372" s="10"/>
    </row>
    <row r="373" spans="1:14" x14ac:dyDescent="0.35">
      <c r="A373" s="10"/>
      <c r="N373" s="10"/>
    </row>
    <row r="374" spans="1:14" x14ac:dyDescent="0.35">
      <c r="A374" s="10"/>
      <c r="N374" s="10"/>
    </row>
    <row r="375" spans="1:14" x14ac:dyDescent="0.35">
      <c r="A375" s="10"/>
      <c r="N375" s="10"/>
    </row>
    <row r="376" spans="1:14" x14ac:dyDescent="0.35">
      <c r="A376" s="10"/>
      <c r="N376" s="10"/>
    </row>
    <row r="377" spans="1:14" x14ac:dyDescent="0.35">
      <c r="A377" s="10"/>
      <c r="N377" s="10"/>
    </row>
    <row r="378" spans="1:14" x14ac:dyDescent="0.35">
      <c r="A378" s="10"/>
      <c r="N378" s="10"/>
    </row>
    <row r="379" spans="1:14" x14ac:dyDescent="0.35">
      <c r="A379" s="10"/>
      <c r="N379" s="10"/>
    </row>
    <row r="380" spans="1:14" x14ac:dyDescent="0.35">
      <c r="A380" s="10"/>
      <c r="N380" s="10"/>
    </row>
    <row r="381" spans="1:14" x14ac:dyDescent="0.35">
      <c r="A381" s="10"/>
      <c r="N381" s="10"/>
    </row>
    <row r="382" spans="1:14" x14ac:dyDescent="0.35">
      <c r="A382" s="10"/>
      <c r="N382" s="10"/>
    </row>
    <row r="383" spans="1:14" x14ac:dyDescent="0.35">
      <c r="A383" s="10"/>
      <c r="N383" s="10"/>
    </row>
    <row r="384" spans="1:14" x14ac:dyDescent="0.35">
      <c r="A384" s="9"/>
      <c r="N384" s="10"/>
    </row>
    <row r="385" spans="14:14" x14ac:dyDescent="0.35">
      <c r="N385" s="10"/>
    </row>
    <row r="386" spans="14:14" x14ac:dyDescent="0.35">
      <c r="N386" s="10"/>
    </row>
    <row r="387" spans="14:14" x14ac:dyDescent="0.35">
      <c r="N387" s="10"/>
    </row>
    <row r="388" spans="14:14" x14ac:dyDescent="0.35">
      <c r="N388" s="10"/>
    </row>
    <row r="389" spans="14:14" x14ac:dyDescent="0.35">
      <c r="N389" s="10"/>
    </row>
    <row r="390" spans="14:14" x14ac:dyDescent="0.35">
      <c r="N390" s="10"/>
    </row>
    <row r="391" spans="14:14" x14ac:dyDescent="0.35">
      <c r="N391" s="10"/>
    </row>
    <row r="392" spans="14:14" x14ac:dyDescent="0.35">
      <c r="N392" s="9"/>
    </row>
  </sheetData>
  <printOptions horizontalCentered="1" verticalCentered="1"/>
  <pageMargins left="0.31496062992125984" right="0.31496062992125984" top="0.39370078740157483" bottom="0.39370078740157483" header="0.19685039370078741" footer="0.11811023622047245"/>
  <pageSetup paperSize="9" scale="54" fitToHeight="2" orientation="landscape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2</vt:i4>
      </vt:variant>
    </vt:vector>
  </HeadingPairs>
  <TitlesOfParts>
    <vt:vector size="3" baseType="lpstr">
      <vt:lpstr>Planilha1</vt:lpstr>
      <vt:lpstr>Planilha1!Area_de_impressao</vt:lpstr>
      <vt:lpstr>Planilha1!Titulos_de_impressao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Saulo Vital Neves da Paz</dc:creator>
  <cp:lastModifiedBy>Saulo Vital Neves da Paz</cp:lastModifiedBy>
  <cp:lastPrinted>2025-06-01T19:54:30Z</cp:lastPrinted>
  <dcterms:created xsi:type="dcterms:W3CDTF">2025-06-01T17:12:47Z</dcterms:created>
  <dcterms:modified xsi:type="dcterms:W3CDTF">2025-07-18T04:41:04Z</dcterms:modified>
</cp:coreProperties>
</file>