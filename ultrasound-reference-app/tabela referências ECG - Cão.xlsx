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ulo\Desktop\SAULO\Atendimentos\guias ajuda\"/>
    </mc:Choice>
  </mc:AlternateContent>
  <bookViews>
    <workbookView xWindow="19110" yWindow="0" windowWidth="19380" windowHeight="20970"/>
  </bookViews>
  <sheets>
    <sheet name="Planilha1" sheetId="1" r:id="rId1"/>
  </sheets>
  <definedNames>
    <definedName name="_xlnm.Print_Area" localSheetId="0">Planilha1!$A$1:$J$34</definedName>
    <definedName name="_xlnm.Print_Titles" localSheetId="0">Planilha1!$1:$1</definedName>
  </definedNames>
  <calcPr/>
</workbook>
</file>

<file path=xl/calcChain.xml><?xml version="1.0" encoding="utf-8"?>
<calcChain xmlns="http://schemas.openxmlformats.org/spreadsheetml/2006/main">
  <c i="1" l="1" r="I16"/>
  <c r="I25"/>
  <c r="I2"/>
  <c r="I5"/>
  <c r="I23"/>
  <c r="I18"/>
  <c r="I17"/>
  <c r="I7"/>
  <c r="I34"/>
  <c r="I33"/>
  <c r="I32"/>
  <c r="I31"/>
  <c r="I30"/>
  <c r="I29"/>
  <c r="I28"/>
  <c r="I27"/>
  <c r="I26"/>
  <c r="I24"/>
  <c r="I22"/>
  <c r="I21"/>
  <c r="I20"/>
  <c r="I19"/>
  <c r="I15"/>
  <c r="I14"/>
  <c r="I6"/>
  <c r="I13"/>
  <c r="I12"/>
  <c r="I11"/>
  <c r="I10"/>
  <c r="I8"/>
  <c r="I9"/>
  <c r="I3"/>
  <c r="I4"/>
</calcChain>
</file>

<file path=xl/sharedStrings.xml><?xml version="1.0" encoding="utf-8"?>
<sst xmlns="http://schemas.openxmlformats.org/spreadsheetml/2006/main">
  <si>
    <t>Parâmetro Analisado (Onda/Intervalo)</t>
  </si>
  <si>
    <t>Espécie</t>
  </si>
  <si>
    <t>Valores de Referência</t>
  </si>
  <si>
    <t>Ref. Lim. Inf.</t>
  </si>
  <si>
    <t>Ref. Lim. Sup.</t>
  </si>
  <si>
    <t>Unidade</t>
  </si>
  <si>
    <t>Tipo de Comparação</t>
  </si>
  <si>
    <t>Resultado do Paciente</t>
  </si>
  <si>
    <t>Resultado Comparativo</t>
  </si>
  <si>
    <t>Comentários (Baseado no Santilli)</t>
  </si>
  <si>
    <t>Frequência Cardíaca (FC)</t>
  </si>
  <si>
    <t>Cão (Adulto)</t>
  </si>
  <si>
    <t>60-170 bpm</t>
  </si>
  <si>
    <t>bpm</t>
  </si>
  <si>
    <t>intervalo</t>
  </si>
  <si>
    <r>
      <t>Taquicardia Sinusal:</t>
    </r>
    <r>
      <rPr>
        <rFont val="Arial"/>
        <color theme="1"/>
        <sz val="12"/>
        <scheme val="none"/>
      </rPr>
      <t xml:space="preserve"> &gt;180 bpm (adultos). Causas: fisiológica (exercício, excitação) ou patológica (hipovolemia, choque, febre, hipertireoidismo, anemia, dor, fármacos).</t>
    </r>
  </si>
  <si>
    <t>Cão (Filhote)</t>
  </si>
  <si>
    <t>60-220 bpm</t>
  </si>
  <si>
    <r>
      <t>Taquicardia Sinusal:</t>
    </r>
    <r>
      <rPr>
        <rFont val="Arial"/>
        <color theme="1"/>
        <sz val="12"/>
        <scheme val="none"/>
      </rPr>
      <t xml:space="preserve"> &gt;220 bpm (filhotes). Ver Cão Adulto. Filhotes podem ter FC &gt;300 bpm por curtos períodos.</t>
    </r>
  </si>
  <si>
    <t>Gato</t>
  </si>
  <si>
    <t>140-220 bpm</t>
  </si>
  <si>
    <t>189-254</t>
  </si>
  <si>
    <r>
      <t>Taquicardia Sinusal:</t>
    </r>
    <r>
      <rPr>
        <rFont val="Arial"/>
        <color theme="1"/>
        <sz val="12"/>
        <scheme val="none"/>
      </rPr>
      <t xml:space="preserve"> &gt;220 bpm. Causas similares às dos cães, especialmente hipertireoidismo.</t>
    </r>
  </si>
  <si>
    <t>Ritmo Cardíaco Normal</t>
  </si>
  <si>
    <t>Cão</t>
  </si>
  <si>
    <t>Ritmo sinusal, Arritmia sinusal, Marca-passo migratório</t>
  </si>
  <si>
    <t>Ritmo sinusal</t>
  </si>
  <si>
    <t>Marca-passo migratório</t>
  </si>
  <si>
    <t>N/A</t>
  </si>
  <si>
    <t>qualitativo_multiplo</t>
  </si>
  <si>
    <t>arritmia sinusal</t>
  </si>
  <si>
    <t>Presença de ritmos diferentes dos listados pode indicar arritmia. A arritmia sinusal respiratória é comum. O marca-passo migratório (wandering pacemaker) também é fisiológico. (Livro, p. 70, 145)</t>
  </si>
  <si>
    <t>qualitativo_unico</t>
  </si>
  <si>
    <t>taquicardia sinusal</t>
  </si>
  <si>
    <t>Arritmia sinusal respiratória é incomum em gatos em ambiente clínico, mas pode ser vista em gatos calmos ou em casa com FC</t>
  </si>
  <si>
    <t>Onda P: Amplitude (DII)</t>
  </si>
  <si>
    <t>&lt;0,4 mV</t>
  </si>
  <si>
    <t>0.4</t>
  </si>
  <si>
    <t>mV</t>
  </si>
  <si>
    <t>menor_que_estrito</t>
  </si>
  <si>
    <r>
      <t>Aumentada (&gt;=0.4 mV - P-pulmonale):</t>
    </r>
    <r>
      <rPr>
        <rFont val="Arial"/>
        <color theme="1"/>
        <sz val="12"/>
        <scheme val="none"/>
      </rPr>
      <t xml:space="preserve"> Sugere Aumento Atrial Direito (AAD). Causas: sobrecarga de volume/pressão atrial direita (ex: insuficiência tricúspide, Defeito do Septo Atrial - DSA), doenças pulmonares crônicas. (Livro, p. 70, 102)</t>
    </r>
  </si>
  <si>
    <t>&lt;0,2 mV</t>
  </si>
  <si>
    <t>0.2</t>
  </si>
  <si>
    <r>
      <t>Aumentada (&gt;=0.2 mV - P-pulmonale):</t>
    </r>
    <r>
      <rPr>
        <rFont val="Arial"/>
        <color theme="1"/>
        <sz val="12"/>
        <scheme val="none"/>
      </rPr>
      <t xml:space="preserve"> Sugere AAD. Causas similares às dos cães. (Livro, p. 70, 102)</t>
    </r>
  </si>
  <si>
    <t>Onda P: Duração</t>
  </si>
  <si>
    <t xml:space="preserve">-10Kg: &lt;40ms            +10Kg: &lt;50ms</t>
  </si>
  <si>
    <t>ms</t>
  </si>
  <si>
    <t>menor_que_estrito_com_excecao</t>
  </si>
  <si>
    <r>
      <t>Aumentada (&gt;=40ms ou &gt;=50ms em gigantes - P-mitrale):</t>
    </r>
    <r>
      <rPr>
        <rFont val="Arial"/>
        <color theme="1"/>
        <sz val="12"/>
        <scheme val="none"/>
      </rPr>
      <t xml:space="preserve"> Sugere Aumento Atrial Esquerdo (AAE), frequentemente com morfologia bífida. Causas: sobrecarga de volume/pressão atrial esquerda (ex: insuficiência mitral, Persistência do Ducto Arterioso - PDA). Atrasos na condução intra-atrial também podem causar. (Livro, p. 70, 103-104). Para raças gigantes, o limite superior é 50ms.</t>
    </r>
  </si>
  <si>
    <t>&lt;35 ms</t>
  </si>
  <si>
    <r>
      <t>Aumentada (&gt;=35ms - P-mitrale):</t>
    </r>
    <r>
      <rPr>
        <rFont val="Arial"/>
        <color theme="1"/>
        <sz val="12"/>
        <scheme val="none"/>
      </rPr>
      <t xml:space="preserve"> Sugere AAE, frequentemente com morfologia bífida. Causas similares às dos cães. (Livro, p. 70, 103)</t>
    </r>
  </si>
  <si>
    <t>Onda P: Eixo Elétrico Médio (Plano Frontal)</t>
  </si>
  <si>
    <t>–18° a +90°</t>
  </si>
  <si>
    <t>graus</t>
  </si>
  <si>
    <r>
      <t>Desvio:</t>
    </r>
    <r>
      <rPr>
        <rFont val="Arial"/>
        <color theme="1"/>
        <sz val="12"/>
        <scheme val="none"/>
      </rPr>
      <t xml:space="preserve"> Pode indicar origem ectópica da onda P, dextrocardia ou posicionamento incorreto dos eletrodos. Variações normais devido ao marca-passo migratório. (Livro, p. 70)</t>
    </r>
  </si>
  <si>
    <t>0° a +90°</t>
  </si>
  <si>
    <r>
      <t>Desvio:</t>
    </r>
    <r>
      <rPr>
        <rFont val="Arial"/>
        <color theme="1"/>
        <sz val="12"/>
        <scheme val="none"/>
      </rPr>
      <t xml:space="preserve"> Semelhante ao cão. (Livro, p. 70)</t>
    </r>
  </si>
  <si>
    <t>Onda Ta: Amplitude</t>
  </si>
  <si>
    <t>Média: 0.06 mV; Ta/P: 0.35</t>
  </si>
  <si>
    <t>informativo</t>
  </si>
  <si>
    <r>
      <t>Proeminente / Depressão do segmento PQ:</t>
    </r>
    <r>
      <rPr>
        <rFont val="Arial"/>
        <color theme="1"/>
        <sz val="12"/>
        <scheme val="none"/>
      </rPr>
      <t xml:space="preserve"> Pode indicar AAD, distúrbios da repolarização atrial, infarto/isquemia atrial, pericardite. (Livro, p. 70, 102)</t>
    </r>
  </si>
  <si>
    <t>Intervalo PQ (ou PR)</t>
  </si>
  <si>
    <t>60-130 ms</t>
  </si>
  <si>
    <r>
      <t>Aumentado (&gt;130 ms - Bloqueio AV de 1º grau):</t>
    </r>
    <r>
      <rPr>
        <rFont val="Arial"/>
        <color theme="1"/>
        <sz val="12"/>
        <scheme val="none"/>
      </rPr>
      <t xml:space="preserve"> Atraso na condução AV. Causas: degeneração/inflamação, neoplasia, fármacos (digitálicos, β-bloqueadores, bloqueadores de Ca2+), hipercalemia, hipervagotonia.</t>
    </r>
    <r>
      <rPr>
        <rFont val="Arial"/>
        <b val="1"/>
        <color theme="1"/>
        <sz val="12"/>
        <scheme val="none"/>
      </rPr>
      <t xml:space="preserve"> Reduzido:</t>
    </r>
    <r>
      <rPr>
        <rFont val="Arial"/>
        <color theme="1"/>
        <sz val="12"/>
        <scheme val="none"/>
      </rPr>
      <t xml:space="preserve"> ( Sugere pré-excitação ventricular (via acessória). (Livro, p. 70, 170, 273)</t>
    </r>
  </si>
  <si>
    <t>50-90 ms</t>
  </si>
  <si>
    <r>
      <t>Aumentado (&gt;90 ms - Bloqueio AV de 1º grau):</t>
    </r>
    <r>
      <rPr>
        <rFont val="Arial"/>
        <color theme="1"/>
        <sz val="12"/>
        <scheme val="none"/>
      </rPr>
      <t xml:space="preserve"> Causas similares às dos cães.</t>
    </r>
    <r>
      <rPr>
        <rFont val="Arial"/>
        <b val="1"/>
        <color theme="1"/>
        <sz val="12"/>
        <scheme val="none"/>
      </rPr>
      <t xml:space="preserve"> Reduzido:</t>
    </r>
    <r>
      <rPr>
        <rFont val="Arial"/>
        <color theme="1"/>
        <sz val="12"/>
        <scheme val="none"/>
      </rPr>
      <t xml:space="preserve"> ( Sugere pré-excitação ventricular. (Livro, p. 70, 170, 273)</t>
    </r>
  </si>
  <si>
    <t>Complexo QRS: Amplitude Onda R (DII, DIII, aVF)</t>
  </si>
  <si>
    <t>&gt;0.5 mV</t>
  </si>
  <si>
    <t>0.5</t>
  </si>
  <si>
    <t>2.0</t>
  </si>
  <si>
    <t>maior_que_estrito</t>
  </si>
  <si>
    <r>
      <t>Reduzida (&lt;=0.5 mV):</t>
    </r>
    <r>
      <rPr>
        <rFont val="Arial"/>
        <color theme="1"/>
        <sz val="12"/>
        <scheme val="none"/>
      </rPr>
      <t xml:space="preserve"> Pode indicar baixa voltagem generalizada (derrame pleural/pericárdico, pneumotórax, obesidade, hipotireoidismo, fibrose).</t>
    </r>
    <r>
      <rPr>
        <rFont val="Arial"/>
        <b val="1"/>
        <color theme="1"/>
        <sz val="12"/>
        <scheme val="none"/>
      </rPr>
      <t xml:space="preserve">  Aumentada </t>
    </r>
    <r>
      <rPr>
        <rFont val="Arial"/>
        <color theme="1"/>
        <sz val="12"/>
        <scheme val="none"/>
      </rPr>
      <t>(Critério de AVE - exemplos): R em DII, aVF, V2, V4 &gt;3mV; R em DI &gt;0,5mV. Sugere Aumento Ventricular Esquerdo (AVE). (Livro, p. 70, 105, Box 5.3)</t>
    </r>
  </si>
  <si>
    <t>Complexo QRS: Amplitude Onda R (CV5RL, V10)</t>
  </si>
  <si>
    <r>
      <t>Aumentada (&gt;=3 mV):</t>
    </r>
    <r>
      <rPr>
        <rFont val="Arial"/>
        <color theme="1"/>
        <sz val="12"/>
        <scheme val="none"/>
      </rPr>
      <t xml:space="preserve"> Parte dos critérios para Aumento Ventricular Esquerdo (AVE). (Livro, p. 70, 105, Box 5.3)</t>
    </r>
  </si>
  <si>
    <t>Complexo QRS: Amplitude Onda R (CV6LL, CV6LU)</t>
  </si>
  <si>
    <r>
      <t>Aumentada (&gt;=5 mV):</t>
    </r>
    <r>
      <rPr>
        <rFont val="Arial"/>
        <color theme="1"/>
        <sz val="12"/>
        <scheme val="none"/>
      </rPr>
      <t xml:space="preserve"> Parte dos critérios para Aumento Ventricular Esquerdo (AVE). (Livro, p. 70, 105, Box 5.3)</t>
    </r>
  </si>
  <si>
    <t>Complexo QRS: Amplitude Onda R (V1)</t>
  </si>
  <si>
    <t>Normalmente pequena em V1. Aumento pode estar relacionado a AVD ou posicionamento. (Livro, p. 70)</t>
  </si>
  <si>
    <t>Complexo QRS: Duração</t>
  </si>
  <si>
    <r>
      <t>Aumentada (&gt;=70 ms):</t>
    </r>
    <r>
      <rPr>
        <rFont val="Arial"/>
        <color theme="1"/>
        <sz val="12"/>
        <scheme val="none"/>
      </rPr>
      <t xml:space="preserve"> Sugere Aumento Ventricular ou Distúrbio de Condução Intraventricular (ex: Bloqueio de Ramo). (Livro, p. 71, 105, 282)</t>
    </r>
  </si>
  <si>
    <r>
      <t>Aumentada (&gt;=40 ms):</t>
    </r>
    <r>
      <rPr>
        <rFont val="Arial"/>
        <color theme="1"/>
        <sz val="12"/>
        <scheme val="none"/>
      </rPr>
      <t xml:space="preserve"> Sugere Aumento Ventricular ou Distúrbio de Condução Intraventricular. (Livro, p. 71, 105, 282)</t>
    </r>
  </si>
  <si>
    <t>Complexo QRS: Amplitude Onda R (em DII)</t>
  </si>
  <si>
    <t>0.9</t>
  </si>
  <si>
    <r>
      <t>Aumentada (&gt;=0.9 mV em DII; &gt;1mV em V2, V4):</t>
    </r>
    <r>
      <rPr>
        <rFont val="Arial"/>
        <color theme="1"/>
        <sz val="12"/>
        <scheme val="none"/>
      </rPr>
      <t xml:space="preserve"> Sugere AVE.</t>
    </r>
    <r>
      <rPr>
        <rFont val="Arial"/>
        <b val="1"/>
        <color theme="1"/>
        <sz val="12"/>
        <scheme val="none"/>
      </rPr>
      <t xml:space="preserve"> Reduzida: </t>
    </r>
    <r>
      <rPr>
        <rFont val="Arial"/>
        <color theme="1"/>
        <sz val="12"/>
        <scheme val="none"/>
      </rPr>
      <t>Causas similares às dos cães (baixa voltagem). (Livro, p. 71, 105, Box 5.4)</t>
    </r>
  </si>
  <si>
    <t>Complexo QRS: Eixo Elétrico Médio (Plano Frontal)</t>
  </si>
  <si>
    <t>+40° a +100°</t>
  </si>
  <si>
    <r>
      <t>Desvio à Direita (+100° a –80°):</t>
    </r>
    <r>
      <rPr>
        <rFont val="Arial"/>
        <color theme="1"/>
        <sz val="12"/>
        <scheme val="none"/>
      </rPr>
      <t xml:space="preserve"> Sugere AVD, Bloqueio de Ramo Direito (BRD), bloqueio fascicular postero-inferior.</t>
    </r>
    <r>
      <rPr>
        <rFont val="Arial"/>
        <b val="1"/>
        <color theme="1"/>
        <sz val="12"/>
        <scheme val="none"/>
      </rPr>
      <t xml:space="preserve"> Desvio à Esquerda (+40° a –60°): </t>
    </r>
    <r>
      <rPr>
        <rFont val="Arial"/>
        <color theme="1"/>
        <sz val="12"/>
        <scheme val="none"/>
      </rPr>
      <t>Sugere bloqueio fascicular antero-superior, ou BRD + bloqueio fascicular antero-superior. (Livro, p. 71, 81, 105)</t>
    </r>
  </si>
  <si>
    <t>0° a +160°</t>
  </si>
  <si>
    <r>
      <t>Desvio à Direita (+160° a –80°):</t>
    </r>
    <r>
      <rPr>
        <rFont val="Arial"/>
        <color theme="1"/>
        <sz val="12"/>
        <scheme val="none"/>
      </rPr>
      <t xml:space="preserve"> Sugere AVD.</t>
    </r>
    <r>
      <rPr>
        <rFont val="Arial"/>
        <b val="1"/>
        <color theme="1"/>
        <sz val="12"/>
        <scheme val="none"/>
      </rPr>
      <t xml:space="preserve"> Desvio à Esquerda (0° a –60°): </t>
    </r>
    <r>
      <rPr>
        <rFont val="Arial"/>
        <color theme="1"/>
        <sz val="12"/>
        <scheme val="none"/>
      </rPr>
      <t>Sugere bloqueio fascicular antero-superior. (Livro, p. 71, 81, 105)</t>
    </r>
  </si>
  <si>
    <t>Onda J (Osborn wave)</t>
  </si>
  <si>
    <t>Amplitude média 0.19 mV (0.10-0.50 mV) em DII</t>
  </si>
  <si>
    <t>0.10</t>
  </si>
  <si>
    <t>0.50</t>
  </si>
  <si>
    <t>intervalo_presenca</t>
  </si>
  <si>
    <r>
      <t xml:space="preserve">Comum e normal em cães. Se presente, amplitude usualmente 0.10-0.50 mV. </t>
    </r>
    <r>
      <rPr>
        <rFont val="Arial"/>
        <b val="1"/>
        <color theme="1"/>
        <sz val="12"/>
        <scheme val="none"/>
      </rPr>
      <t>Proeminente:</t>
    </r>
    <r>
      <rPr>
        <rFont val="Arial"/>
        <color theme="1"/>
        <sz val="12"/>
        <scheme val="none"/>
      </rPr>
      <t xml:space="preserve"> Hipercalcemia, hipotermia, lesão cerebral. (Livro, p. 71, 74, 301, 311-312)</t>
    </r>
  </si>
  <si>
    <t>Segmento ST</t>
  </si>
  <si>
    <t>Normal: isoelétrico. Desvio &gt;±0.20 mV (membros), &gt;±0.25 mV (precordiais)</t>
  </si>
  <si>
    <t>-0.20</t>
  </si>
  <si>
    <t>0.20</t>
  </si>
  <si>
    <t>intervalo_desvio_membros</t>
  </si>
  <si>
    <r>
      <t>Desvio (Elevação/Depressão):</t>
    </r>
    <r>
      <rPr>
        <rFont val="Arial"/>
        <color theme="1"/>
        <sz val="12"/>
        <scheme val="none"/>
      </rPr>
      <t xml:space="preserve"> Membros: &gt;0.20mV ou &lt; -0.20mV. Precordiais: &gt;0.25mV ou &lt; -0.25mV. Pode ser variante normal. Relevância clínica: "slurring" com AVE/BRE, AVD/BRD. Onda Ta pode mimetizar. Isquemia/infarto (raro), pericardite, miocardite, hipercalemia, digitálicos. (Livro, p. 71, 74-75)</t>
    </r>
  </si>
  <si>
    <t>Normal: isoelétrico</t>
  </si>
  <si>
    <t>qualitativo_iso</t>
  </si>
  <si>
    <t>Desvios podem ocorrer com isquemia, miocardite, distúrbios eletrolíticos. (Livro, p. 71, 74-75)</t>
  </si>
  <si>
    <t>Intervalo QT</t>
  </si>
  <si>
    <t>150-240 ms</t>
  </si>
  <si>
    <r>
      <t>Prolongado (&gt;240 ms):</t>
    </r>
    <r>
      <rPr>
        <rFont val="Arial"/>
        <color theme="1"/>
        <sz val="12"/>
        <scheme val="none"/>
      </rPr>
      <t xml:space="preserve"> Fármacos (antiarrítmicos Classe IA, III), hipocalcemia, hipocalemia, hipomagnesemia, hipotermia, bradicardia, doença miocárdica. Risco de Torsades de Pointes.</t>
    </r>
    <r>
      <rPr>
        <rFont val="Arial"/>
        <b val="1"/>
        <color theme="1"/>
        <sz val="12"/>
        <scheme val="none"/>
      </rPr>
      <t xml:space="preserve"> Encurtado: </t>
    </r>
    <r>
      <rPr>
        <rFont val="Arial"/>
        <color theme="1"/>
        <sz val="12"/>
        <scheme val="none"/>
      </rPr>
      <t>Hipercalcemia, digitálicos. (Livro, p. 71, 75-76, 303-308)</t>
    </r>
  </si>
  <si>
    <t>160-220 ms (ou fórmula)</t>
  </si>
  <si>
    <t>intervalo_com_nota</t>
  </si>
  <si>
    <t>Fórmula: 0.41845798 – (0.00181963 × FC) + (0.00000313 × FC²). Causas de alteração similares às dos cães. (Livro, p. 71, 75-76)</t>
  </si>
  <si>
    <t>Onda T: Amplitude</t>
  </si>
  <si>
    <t>&lt; ±0.05 a 1 mV</t>
  </si>
  <si>
    <t>intervalo_amplo</t>
  </si>
  <si>
    <r>
      <t>Alterada:</t>
    </r>
    <r>
      <rPr>
        <rFont val="Arial"/>
        <color theme="1"/>
        <sz val="12"/>
        <scheme val="none"/>
      </rPr>
      <t xml:space="preserve"> Geralmente inespecífica. </t>
    </r>
    <r>
      <rPr>
        <rFont val="Arial"/>
        <b val="1"/>
        <color theme="1"/>
        <sz val="12"/>
        <scheme val="none"/>
      </rPr>
      <t>Apiculação simétrica e alta:</t>
    </r>
    <r>
      <rPr>
        <rFont val="Arial"/>
        <color theme="1"/>
        <sz val="12"/>
        <scheme val="none"/>
      </rPr>
      <t xml:space="preserve"> Hipercalemia. Pode alterar-se com extrassístoles ventriculares, bloqueios de ramo, aumento ventricular. Amplitude não deve exceder 1/4 da onda R precedente na mesma derivação. (Livro, p. 71, 75)</t>
    </r>
  </si>
  <si>
    <t>A partir de ±0.03 mV</t>
  </si>
  <si>
    <t>-0.3</t>
  </si>
  <si>
    <t>0.3</t>
  </si>
  <si>
    <t>intervalo_estimado</t>
  </si>
  <si>
    <t>Vide Cão. Geralmente de baixa amplitude. (Livro, p. 71, 75)</t>
  </si>
  <si>
    <t>Onda T: Polaridade</t>
  </si>
  <si>
    <t>Variável (exceto CV5RL e V1: positiva; V10: negativa)</t>
  </si>
  <si>
    <t>qualitativo_variavel_com_excecao</t>
  </si>
  <si>
    <t>Alterações podem ser inespecíficas ou relacionadas a isquemia, distúrbios eletrolíticos (T apiculada na hipercalemia, achatada na hipocalemia). (Livro, p. 71, 75)</t>
  </si>
  <si>
    <t>Variável</t>
  </si>
  <si>
    <t>qualitativo_variavel</t>
  </si>
  <si>
    <t>Vide Cão. (Livro, p. 71, 75)</t>
  </si>
  <si>
    <t>Onda U</t>
  </si>
  <si>
    <t>Ausente ou</t>
  </si>
  <si>
    <t>0.05</t>
  </si>
  <si>
    <t>menor_que_estrito_se_presente</t>
  </si>
  <si>
    <r>
      <t>Proeminente:</t>
    </r>
    <r>
      <rPr>
        <rFont val="Arial"/>
        <color theme="1"/>
        <sz val="12"/>
        <scheme val="none"/>
      </rPr>
      <t xml:space="preserve"> Hipertensão sistêmica, anemia, isquemia miocárdica, hipocalemia, hipomagnesemia, fármacos que prolongam QT. (Livro, p. 71, 75, 308)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</si>
</sst>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color rgb="FF575B5F"/>
      <name val="Arial"/>
    </font>
    <font>
      <sz val="12"/>
      <color rgb="FF1B1C1D"/>
      <name val="Arial"/>
    </font>
  </fonts>
  <fills count="2">
    <fill>
      <patternFill patternType="none"/>
    </fill>
    <fill>
      <patternFill patternType="gray125"/>
    </fill>
  </fills>
  <borders count="7">
    <border/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top style="thin">
        <color auto="1"/>
      </top>
      <bottom style="thin">
        <color auto="1"/>
      </bottom>
    </border>
    <border>
      <top style="thin">
        <color indexed="64"/>
      </top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 justifyLastLine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5" xfId="0" quotePrefix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indent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C1D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ECG" displayName="ECG" ref="A1:J34" totalsRowShown="0" headerRowDxfId="0" dataDxfId="2" headerRowBorderDxfId="1" tableBorderDxfId="3">
  <autoFilter ref="A1:J34"/>
  <tableColumns count="10">
    <tableColumn id="1" name="Parâmetro Analisado (Onda/Intervalo)" dataDxfId="4"/>
    <tableColumn id="2" name="Espécie" dataDxfId="4"/>
    <tableColumn id="3" name="Valores de Referência" dataDxfId="4"/>
    <tableColumn id="4" name="Ref. Lim. Inf." dataDxfId="4"/>
    <tableColumn id="5" name="Ref. Lim. Sup." dataDxfId="4"/>
    <tableColumn id="6" name="Unidade" dataDxfId="4"/>
    <tableColumn id="7" name="Tipo de Comparação" dataDxfId="4"/>
    <tableColumn id="8" name="Resultado do Paciente" dataDxfId="5"/>
    <tableColumn id="9" name="Resultado Comparativo" dataDxfId="6"/>
    <tableColumn id="10" name="Comentários (Baseado no Santilli)" dataDxfId="4"/>
  </tableColumns>
  <tableStyleInfo name="TableStyleLight1" showColumnStripes="0" showFirstColumn="0" showLastColumn="0" showRow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zoomScale="80" zoomScaleNormal="80" workbookViewId="0" topLeftCell="A15">
      <selection activeCell="H19" sqref="H19"/>
    </sheetView>
  </sheetViews>
  <sheetFormatPr defaultColWidth="20.21875" defaultRowHeight="15"/>
  <cols>
    <col min="1" max="1" width="28.55469" style="1" customWidth="1"/>
    <col min="2" max="2" width="15.88672" style="1" customWidth="1"/>
    <col min="3" max="3" width="21.77734" style="1" customWidth="1"/>
    <col min="4" max="4" width="18.21875" style="1" customWidth="1"/>
    <col min="5" max="5" width="20.21875" style="1"/>
    <col min="6" max="6" width="13.77734" style="1" customWidth="1"/>
    <col min="7" max="9" width="20.21875" style="1"/>
    <col min="10" max="10" width="81.88672" style="1" customWidth="1"/>
    <col min="11" max="16384" width="20.21875" style="1"/>
  </cols>
  <sheetData>
    <row r="1" ht="31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ht="55.25" customHeight="1">
      <c r="A2" s="5" t="s">
        <v>10</v>
      </c>
      <c r="B2" s="5" t="s">
        <v>11</v>
      </c>
      <c r="C2" s="5" t="s">
        <v>12</v>
      </c>
      <c r="D2" s="5">
        <v>60</v>
      </c>
      <c r="E2" s="5">
        <v>170</v>
      </c>
      <c r="F2" s="5" t="s">
        <v>13</v>
      </c>
      <c r="G2" s="5" t="s">
        <v>14</v>
      </c>
      <c r="H2" s="5">
        <v>192</v>
      </c>
      <c r="I2" s="5" t="str">
        <f>IF(H2="", "", IF(AND(H2&gt;=D2, H2&lt;=E2), "Normal", IF(H2&lt;D2, "Reduzido", "Aumentado")))</f>
        <v>Aumentado</v>
      </c>
      <c r="J2" s="6" t="s">
        <v>15</v>
      </c>
    </row>
    <row r="3" ht="42.65" customHeight="1">
      <c r="A3" s="7" t="s">
        <v>10</v>
      </c>
      <c r="B3" s="7" t="s">
        <v>16</v>
      </c>
      <c r="C3" s="7" t="s">
        <v>17</v>
      </c>
      <c r="D3" s="7">
        <v>60</v>
      </c>
      <c r="E3" s="7">
        <v>220</v>
      </c>
      <c r="F3" s="7" t="s">
        <v>13</v>
      </c>
      <c r="G3" s="7" t="s">
        <v>14</v>
      </c>
      <c r="H3" s="7"/>
      <c r="I3" s="7" t="str">
        <f t="shared" ref="I3" si="0">IF(H3="", "", IF(AND(H3&gt;=D3, H3&lt;=E3), "Normal", IF(H3&lt;D3, "Reduzido", "Aumentado")))</f>
        <v/>
      </c>
      <c r="J3" s="6" t="s">
        <v>18</v>
      </c>
    </row>
    <row r="4" ht="40.75" customHeight="1">
      <c r="A4" s="7" t="s">
        <v>10</v>
      </c>
      <c r="B4" s="7" t="s">
        <v>19</v>
      </c>
      <c r="C4" s="7" t="s">
        <v>20</v>
      </c>
      <c r="D4" s="7">
        <v>140</v>
      </c>
      <c r="E4" s="7">
        <v>220</v>
      </c>
      <c r="F4" s="7" t="s">
        <v>13</v>
      </c>
      <c r="G4" s="7" t="s">
        <v>14</v>
      </c>
      <c r="H4" s="7" t="s">
        <v>21</v>
      </c>
      <c r="I4" s="7" t="str">
        <f t="shared" ref="I4" si="1">IF(H4="", "", IF(AND(H4&gt;=D4, H4&lt;=E4), "Normal", IF(H4&lt;D4, "Reduzido", "Aumentado")))</f>
        <v>Aumentado</v>
      </c>
      <c r="J4" s="6" t="s">
        <v>22</v>
      </c>
    </row>
    <row r="5" ht="63.65" customHeight="1">
      <c r="A5" s="7" t="s">
        <v>23</v>
      </c>
      <c r="B5" s="7" t="s">
        <v>24</v>
      </c>
      <c r="C5" s="8" t="s">
        <v>25</v>
      </c>
      <c r="D5" s="7" t="s">
        <v>26</v>
      </c>
      <c r="E5" s="7" t="s">
        <v>27</v>
      </c>
      <c r="F5" s="7" t="s">
        <v>28</v>
      </c>
      <c r="G5" s="7" t="s">
        <v>29</v>
      </c>
      <c r="H5" s="7" t="s">
        <v>30</v>
      </c>
      <c r="I5" s="7" t="str">
        <f>IF(H5="", "", IF(OR(UPPER(H5)=UPPER(D5), UPPER(H5)="ARRITMIA SINUSAL RESPIRATÓRIA", UPPER(H5)=UPPER(E5)), "Normal", "Alterado"))</f>
        <v>Alterado</v>
      </c>
      <c r="J5" s="7" t="s">
        <v>31</v>
      </c>
    </row>
    <row r="6" ht="42.65" customHeight="1">
      <c r="A6" s="7" t="s">
        <v>23</v>
      </c>
      <c r="B6" s="7" t="s">
        <v>19</v>
      </c>
      <c r="C6" s="7" t="s">
        <v>26</v>
      </c>
      <c r="D6" s="7" t="s">
        <v>26</v>
      </c>
      <c r="E6" s="7" t="s">
        <v>26</v>
      </c>
      <c r="F6" s="7" t="s">
        <v>28</v>
      </c>
      <c r="G6" s="7" t="s">
        <v>32</v>
      </c>
      <c r="H6" s="7" t="s">
        <v>33</v>
      </c>
      <c r="I6" s="7" t="str">
        <f>IF(H6="", "", IF(OR(UPPER(H6)=UPPER(D6), UPPER(H6)="ARRITMIA SINUSAL RESPIRATÓRIA", UPPER(H6)=UPPER(E6)), "Normal", "Alterado"))</f>
        <v>Alterado</v>
      </c>
      <c r="J6" s="7" t="s">
        <v>34</v>
      </c>
      <c r="N6" s="9"/>
    </row>
    <row r="7" ht="63.65" customHeight="1">
      <c r="A7" s="7" t="s">
        <v>35</v>
      </c>
      <c r="B7" s="7" t="s">
        <v>24</v>
      </c>
      <c r="C7" s="7" t="s">
        <v>36</v>
      </c>
      <c r="D7" s="7"/>
      <c r="E7" s="7" t="s">
        <v>37</v>
      </c>
      <c r="F7" s="7" t="s">
        <v>38</v>
      </c>
      <c r="G7" s="7" t="s">
        <v>39</v>
      </c>
      <c r="H7" s="7">
        <v>0.16</v>
      </c>
      <c r="I7" s="7" t="str">
        <f>IF(H7="", "", IF(H7&lt;E7, "Normal", "Aumentado"))</f>
        <v>Normal</v>
      </c>
      <c r="J7" s="6" t="s">
        <v>40</v>
      </c>
      <c r="N7" s="10"/>
    </row>
    <row r="8" ht="30.6">
      <c r="A8" s="7" t="s">
        <v>35</v>
      </c>
      <c r="B8" s="7" t="s">
        <v>19</v>
      </c>
      <c r="C8" s="7" t="s">
        <v>41</v>
      </c>
      <c r="D8" s="7"/>
      <c r="E8" s="7" t="s">
        <v>42</v>
      </c>
      <c r="F8" s="7" t="s">
        <v>38</v>
      </c>
      <c r="G8" s="7" t="s">
        <v>39</v>
      </c>
      <c r="H8" s="7">
        <v>0.13</v>
      </c>
      <c r="I8" s="7" t="str">
        <f t="shared" ref="I8:I10" si="2">IF(H8="", "", IF(H8&lt;E8, "Normal", "Aumentado"))</f>
        <v>Normal</v>
      </c>
      <c r="J8" s="6" t="s">
        <v>43</v>
      </c>
      <c r="N8" s="10"/>
    </row>
    <row r="9" ht="90.6">
      <c r="A9" s="7" t="s">
        <v>44</v>
      </c>
      <c r="B9" s="7" t="s">
        <v>24</v>
      </c>
      <c r="C9" s="11" t="s">
        <v>45</v>
      </c>
      <c r="D9" s="7"/>
      <c r="E9" s="7">
        <v>40</v>
      </c>
      <c r="F9" s="7" t="s">
        <v>46</v>
      </c>
      <c r="G9" s="7" t="s">
        <v>47</v>
      </c>
      <c r="H9" s="7">
        <v>50</v>
      </c>
      <c r="I9" s="7" t="str">
        <f t="shared" si="2"/>
        <v>Aumentado</v>
      </c>
      <c r="J9" s="6" t="s">
        <v>48</v>
      </c>
      <c r="N9" s="10"/>
    </row>
    <row r="10" ht="46.25" customHeight="1">
      <c r="A10" s="7" t="s">
        <v>44</v>
      </c>
      <c r="B10" s="7" t="s">
        <v>19</v>
      </c>
      <c r="C10" s="7" t="s">
        <v>49</v>
      </c>
      <c r="D10" s="7"/>
      <c r="E10" s="7">
        <v>35</v>
      </c>
      <c r="F10" s="7" t="s">
        <v>46</v>
      </c>
      <c r="G10" s="7" t="s">
        <v>39</v>
      </c>
      <c r="H10" s="7">
        <v>44</v>
      </c>
      <c r="I10" s="7" t="str">
        <f t="shared" si="2"/>
        <v>Aumentado</v>
      </c>
      <c r="J10" s="6" t="s">
        <v>50</v>
      </c>
      <c r="N10" s="10"/>
    </row>
    <row r="11" ht="56.4" customHeight="1">
      <c r="A11" s="7" t="s">
        <v>51</v>
      </c>
      <c r="B11" s="7" t="s">
        <v>24</v>
      </c>
      <c r="C11" s="7" t="s">
        <v>52</v>
      </c>
      <c r="D11" s="7">
        <v>-18</v>
      </c>
      <c r="E11" s="7">
        <v>90</v>
      </c>
      <c r="F11" s="7" t="s">
        <v>53</v>
      </c>
      <c r="G11" s="7" t="s">
        <v>14</v>
      </c>
      <c r="H11" s="7">
        <v>60</v>
      </c>
      <c r="I11" s="12" t="str">
        <f>IF(H11="", "", IF(AND(H11&gt;=D11, H11&lt;=E11), "Normal", IF(H11&lt;D11, "Desvio à Esquerda/Superior", "Desvio à Direita/Inferior")))</f>
        <v>Normal</v>
      </c>
      <c r="J11" s="6" t="s">
        <v>54</v>
      </c>
      <c r="N11" s="10"/>
    </row>
    <row r="12" ht="43.25" customHeight="1">
      <c r="A12" s="7" t="s">
        <v>51</v>
      </c>
      <c r="B12" s="7" t="s">
        <v>19</v>
      </c>
      <c r="C12" s="7" t="s">
        <v>55</v>
      </c>
      <c r="D12" s="7">
        <v>0</v>
      </c>
      <c r="E12" s="7">
        <v>90</v>
      </c>
      <c r="F12" s="7" t="s">
        <v>53</v>
      </c>
      <c r="G12" s="7" t="s">
        <v>14</v>
      </c>
      <c r="H12" s="7">
        <v>83</v>
      </c>
      <c r="I12" s="12" t="str">
        <f>IF(H12="", "", IF(AND(H12&gt;=D12, H12&lt;=E12), "Normal", IF(H12&lt;D12, "Desvio à Esquerda/Superior", "Desvio à Direita/Inferior")))</f>
        <v>Normal</v>
      </c>
      <c r="J12" s="6" t="s">
        <v>56</v>
      </c>
      <c r="N12" s="10"/>
    </row>
    <row r="13" ht="41.4" customHeight="1">
      <c r="A13" s="7" t="s">
        <v>57</v>
      </c>
      <c r="B13" s="7" t="s">
        <v>24</v>
      </c>
      <c r="C13" s="7" t="s">
        <v>58</v>
      </c>
      <c r="D13" s="7"/>
      <c r="E13" s="7"/>
      <c r="F13" s="7" t="s">
        <v>38</v>
      </c>
      <c r="G13" s="7" t="s">
        <v>59</v>
      </c>
      <c r="H13" s="7"/>
      <c r="I13" s="12" t="str">
        <f>IF(H13="","","Avaliação qualitativa")</f>
        <v/>
      </c>
      <c r="J13" s="6" t="s">
        <v>60</v>
      </c>
      <c r="N13" s="10"/>
    </row>
    <row r="14" ht="86.4" customHeight="1">
      <c r="A14" s="13" t="s">
        <v>61</v>
      </c>
      <c r="B14" s="13" t="s">
        <v>24</v>
      </c>
      <c r="C14" s="13" t="s">
        <v>62</v>
      </c>
      <c r="D14" s="13">
        <v>60</v>
      </c>
      <c r="E14" s="13">
        <v>130</v>
      </c>
      <c r="F14" s="13" t="s">
        <v>46</v>
      </c>
      <c r="G14" s="13" t="s">
        <v>14</v>
      </c>
      <c r="H14" s="13"/>
      <c r="I14" s="12" t="str">
        <f>IF(H14="", "", IF(AND(H14&gt;=D14, H14&lt;=E14), "Normal", IF(H14&lt;D14, "Reduzido (Pré-excitação?)", "Aumentado (Bloqueio AV?)")))</f>
        <v/>
      </c>
      <c r="J14" s="14" t="s">
        <v>63</v>
      </c>
      <c r="N14" s="10"/>
    </row>
    <row r="15" ht="46.75" customHeight="1">
      <c r="A15" s="13" t="s">
        <v>61</v>
      </c>
      <c r="B15" s="13" t="s">
        <v>19</v>
      </c>
      <c r="C15" s="13" t="s">
        <v>64</v>
      </c>
      <c r="D15" s="13">
        <v>50</v>
      </c>
      <c r="E15" s="13">
        <v>90</v>
      </c>
      <c r="F15" s="13" t="s">
        <v>46</v>
      </c>
      <c r="G15" s="13" t="s">
        <v>14</v>
      </c>
      <c r="H15" s="13">
        <v>72</v>
      </c>
      <c r="I15" s="12" t="str">
        <f>IF(H15="", "", IF(AND(H15&gt;=D15, H15&lt;=E15), "Normal", IF(H15&lt;D15, "Reduzido (Pré-excitação?)", "Aumentado (Bloqueio AV?)")))</f>
        <v>Normal</v>
      </c>
      <c r="J15" s="14" t="s">
        <v>65</v>
      </c>
      <c r="N15" s="10"/>
    </row>
    <row r="16" ht="84.65" customHeight="1">
      <c r="A16" s="13" t="s">
        <v>66</v>
      </c>
      <c r="B16" s="13" t="s">
        <v>24</v>
      </c>
      <c r="C16" s="13" t="s">
        <v>67</v>
      </c>
      <c r="D16" s="13" t="s">
        <v>68</v>
      </c>
      <c r="E16" s="13" t="s">
        <v>69</v>
      </c>
      <c r="F16" s="13" t="s">
        <v>38</v>
      </c>
      <c r="G16" s="13" t="s">
        <v>70</v>
      </c>
      <c r="H16" s="13">
        <v>1</v>
      </c>
      <c r="I16" s="12" t="e">
        <f>IF(H16="", "", IF(H16&lt;D16, "Reduzido") IF(H16&gt;E16, "Aumentada"))</f>
        <v>#VALUE!</v>
      </c>
      <c r="J16" s="15" t="s">
        <v>71</v>
      </c>
      <c r="N16" s="10"/>
    </row>
    <row r="17" ht="48" customHeight="1">
      <c r="A17" s="7" t="s">
        <v>72</v>
      </c>
      <c r="B17" s="7" t="s">
        <v>24</v>
      </c>
      <c r="C17" s="7"/>
      <c r="D17" s="7"/>
      <c r="E17" s="7">
        <v>3</v>
      </c>
      <c r="F17" s="7" t="s">
        <v>38</v>
      </c>
      <c r="G17" s="7" t="s">
        <v>39</v>
      </c>
      <c r="H17" s="7"/>
      <c r="I17" s="12" t="str">
        <f>IF(H17="", "", IF(H17&lt;E17, "Normal", "Aumentado (Critério AVE?)"))</f>
        <v/>
      </c>
      <c r="J17" s="6" t="s">
        <v>73</v>
      </c>
      <c r="N17" s="10"/>
    </row>
    <row r="18" ht="39" customHeight="1">
      <c r="A18" s="7" t="s">
        <v>74</v>
      </c>
      <c r="B18" s="7" t="s">
        <v>24</v>
      </c>
      <c r="C18" s="7"/>
      <c r="D18" s="7"/>
      <c r="E18" s="7">
        <v>5</v>
      </c>
      <c r="F18" s="7" t="s">
        <v>38</v>
      </c>
      <c r="G18" s="7" t="s">
        <v>39</v>
      </c>
      <c r="H18" s="7"/>
      <c r="I18" s="12" t="str">
        <f>IF(H18="", "", IF(H18&lt;E18, "Normal", "Aumentado (Critério AVE?)"))</f>
        <v/>
      </c>
      <c r="J18" s="6" t="s">
        <v>75</v>
      </c>
      <c r="N18" s="10"/>
    </row>
    <row r="19" ht="42" customHeight="1">
      <c r="A19" s="7" t="s">
        <v>76</v>
      </c>
      <c r="B19" s="7" t="s">
        <v>24</v>
      </c>
      <c r="C19" s="7"/>
      <c r="D19" s="7"/>
      <c r="E19" s="7" t="s">
        <v>68</v>
      </c>
      <c r="F19" s="7" t="s">
        <v>38</v>
      </c>
      <c r="G19" s="7" t="s">
        <v>39</v>
      </c>
      <c r="H19" s="7"/>
      <c r="I19" s="12" t="str">
        <f>IF(H19="", "", IF(H19&lt;E19, "Normal", "Aumentado"))</f>
        <v/>
      </c>
      <c r="J19" s="7" t="s">
        <v>77</v>
      </c>
      <c r="N19" s="10"/>
    </row>
    <row r="20" ht="45" customHeight="1">
      <c r="A20" s="7" t="s">
        <v>78</v>
      </c>
      <c r="B20" s="7" t="s">
        <v>24</v>
      </c>
      <c r="C20" s="7"/>
      <c r="D20" s="7"/>
      <c r="E20" s="7">
        <v>70</v>
      </c>
      <c r="F20" s="7" t="s">
        <v>46</v>
      </c>
      <c r="G20" s="7" t="s">
        <v>39</v>
      </c>
      <c r="H20" s="7"/>
      <c r="I20" s="12" t="str">
        <f>IF(H20="", "", IF(H20&lt;E20, "Normal", "Aumentado (Aumento ventricular ou Bloqueio de Ramo?)"))</f>
        <v/>
      </c>
      <c r="J20" s="6" t="s">
        <v>79</v>
      </c>
      <c r="N20" s="10"/>
    </row>
    <row r="21" ht="42.65" customHeight="1">
      <c r="A21" s="7" t="s">
        <v>78</v>
      </c>
      <c r="B21" s="7" t="s">
        <v>19</v>
      </c>
      <c r="C21" s="7"/>
      <c r="D21" s="7"/>
      <c r="E21" s="7">
        <v>40</v>
      </c>
      <c r="F21" s="7" t="s">
        <v>46</v>
      </c>
      <c r="G21" s="7" t="s">
        <v>39</v>
      </c>
      <c r="H21" s="7">
        <v>68</v>
      </c>
      <c r="I21" s="12" t="str">
        <f>IF(H21="", "", IF(H21&lt;E21, "Normal", "Aumentado (Aumento ventricular ou Bloqueio de Ramo?)"))</f>
        <v>Aumentado (Aumento ventricular ou Bloqueio de Ramo?)</v>
      </c>
      <c r="J21" s="6" t="s">
        <v>80</v>
      </c>
      <c r="N21" s="10"/>
    </row>
    <row r="22" ht="41.4" customHeight="1">
      <c r="A22" s="13" t="s">
        <v>81</v>
      </c>
      <c r="B22" s="13" t="s">
        <v>19</v>
      </c>
      <c r="C22" s="13"/>
      <c r="D22" s="13"/>
      <c r="E22" s="13" t="s">
        <v>82</v>
      </c>
      <c r="F22" s="13" t="s">
        <v>38</v>
      </c>
      <c r="G22" s="13" t="s">
        <v>39</v>
      </c>
      <c r="H22" s="13">
        <v>0.14000000000000001</v>
      </c>
      <c r="I22" s="12" t="str">
        <f>IF(H22="", "", IF(H22&lt;E22, "Normal", "Aumentado (Critério AVE?)"))</f>
        <v>Normal</v>
      </c>
      <c r="J22" s="14" t="s">
        <v>83</v>
      </c>
      <c r="N22" s="10"/>
    </row>
    <row r="23" ht="71.4" customHeight="1">
      <c r="A23" s="13" t="s">
        <v>84</v>
      </c>
      <c r="B23" s="13" t="s">
        <v>24</v>
      </c>
      <c r="C23" s="13" t="s">
        <v>85</v>
      </c>
      <c r="D23" s="13">
        <v>40</v>
      </c>
      <c r="E23" s="13">
        <v>100</v>
      </c>
      <c r="F23" s="13" t="s">
        <v>53</v>
      </c>
      <c r="G23" s="13" t="s">
        <v>14</v>
      </c>
      <c r="H23" s="13"/>
      <c r="I23" s="12" t="str">
        <f>IF(H23="", "", IF(AND(H23&gt;=D23, H23&lt;=E23), "Normal", IF(H23&lt;D23, "Desvio à Esquerda", "Desvio à Direita")))</f>
        <v/>
      </c>
      <c r="J23" s="14" t="s">
        <v>86</v>
      </c>
      <c r="N23" s="10"/>
    </row>
    <row r="24" ht="52.75" customHeight="1">
      <c r="A24" s="13" t="s">
        <v>84</v>
      </c>
      <c r="B24" s="13" t="s">
        <v>19</v>
      </c>
      <c r="C24" s="13" t="s">
        <v>87</v>
      </c>
      <c r="D24" s="13">
        <v>0</v>
      </c>
      <c r="E24" s="13">
        <v>160</v>
      </c>
      <c r="F24" s="13" t="s">
        <v>53</v>
      </c>
      <c r="G24" s="13" t="s">
        <v>14</v>
      </c>
      <c r="H24" s="13">
        <v>18</v>
      </c>
      <c r="I24" s="12" t="str">
        <f>IF(H24="", "", IF(AND(H24&gt;=D24, H24&lt;=E24), "Normal", IF(H24&lt;D24, "Desvio à Esquerda", "Desvio à Direita")))</f>
        <v>Normal</v>
      </c>
      <c r="J24" s="14" t="s">
        <v>88</v>
      </c>
      <c r="N24" s="10"/>
    </row>
    <row r="25" ht="52.75" customHeight="1">
      <c r="A25" s="7" t="s">
        <v>89</v>
      </c>
      <c r="B25" s="7" t="s">
        <v>24</v>
      </c>
      <c r="C25" s="7" t="s">
        <v>90</v>
      </c>
      <c r="D25" s="7" t="s">
        <v>91</v>
      </c>
      <c r="E25" s="7" t="s">
        <v>92</v>
      </c>
      <c r="F25" s="7" t="s">
        <v>38</v>
      </c>
      <c r="G25" s="7" t="s">
        <v>93</v>
      </c>
      <c r="H25" s="7"/>
      <c r="I25" s="12" t="str">
        <f>IF(H25="", "", IF(OR(UPPER(H25)="AUSENTE", AND(H25&gt;=D25, H25&lt;=E25)), "Normal", "Proeminente/Alterada"))</f>
        <v/>
      </c>
      <c r="J25" s="7" t="s">
        <v>94</v>
      </c>
      <c r="N25" s="10"/>
    </row>
    <row r="26" ht="78.65" customHeight="1">
      <c r="A26" s="7" t="s">
        <v>95</v>
      </c>
      <c r="B26" s="7" t="s">
        <v>24</v>
      </c>
      <c r="C26" s="7" t="s">
        <v>96</v>
      </c>
      <c r="D26" s="7" t="s">
        <v>97</v>
      </c>
      <c r="E26" s="7" t="s">
        <v>98</v>
      </c>
      <c r="F26" s="7" t="s">
        <v>38</v>
      </c>
      <c r="G26" s="7" t="s">
        <v>99</v>
      </c>
      <c r="H26" s="7"/>
      <c r="I26" s="12" t="str">
        <f>IF(H26="", "", IF(AND(H26&gt;=D26, H26&lt;=E26), "Isoelétrico/Normal", IF(H26&gt;E26,"Supradesnivelado","Infradesnivelado")))</f>
        <v/>
      </c>
      <c r="J26" s="6" t="s">
        <v>100</v>
      </c>
      <c r="N26" s="10"/>
    </row>
    <row r="27" ht="39" customHeight="1">
      <c r="A27" s="7" t="s">
        <v>95</v>
      </c>
      <c r="B27" s="7" t="s">
        <v>19</v>
      </c>
      <c r="C27" s="7" t="s">
        <v>101</v>
      </c>
      <c r="D27" s="7">
        <v>0</v>
      </c>
      <c r="E27" s="7">
        <v>0</v>
      </c>
      <c r="F27" s="7" t="s">
        <v>38</v>
      </c>
      <c r="G27" s="7" t="s">
        <v>102</v>
      </c>
      <c r="H27" s="7">
        <v>0.02</v>
      </c>
      <c r="I27" s="12" t="str">
        <f>IF(H27="", "", IF(OR(UPPER(H27)="ISOELÉTRICO", H27=0), "Normal", "Desvio ST Presente"))</f>
        <v>Desvio ST Presente</v>
      </c>
      <c r="J27" s="7" t="s">
        <v>103</v>
      </c>
      <c r="N27" s="10"/>
    </row>
    <row r="28" ht="75" customHeight="1">
      <c r="A28" s="7" t="s">
        <v>104</v>
      </c>
      <c r="B28" s="7" t="s">
        <v>24</v>
      </c>
      <c r="C28" s="7" t="s">
        <v>105</v>
      </c>
      <c r="D28" s="7">
        <v>150</v>
      </c>
      <c r="E28" s="7">
        <v>240</v>
      </c>
      <c r="F28" s="7" t="s">
        <v>46</v>
      </c>
      <c r="G28" s="7" t="s">
        <v>14</v>
      </c>
      <c r="H28" s="7"/>
      <c r="I28" s="12" t="str">
        <f>IF(H28="", "", IF(AND(H28&gt;=D28, H28&lt;=E28), "Normal", IF(H28&lt;D28, "Encurtado", "Prolongado")))</f>
        <v/>
      </c>
      <c r="J28" s="6" t="s">
        <v>106</v>
      </c>
      <c r="N28" s="10"/>
    </row>
    <row r="29" ht="44.4" customHeight="1">
      <c r="A29" s="7" t="s">
        <v>104</v>
      </c>
      <c r="B29" s="7" t="s">
        <v>19</v>
      </c>
      <c r="C29" s="7" t="s">
        <v>107</v>
      </c>
      <c r="D29" s="7">
        <v>160</v>
      </c>
      <c r="E29" s="7">
        <v>220</v>
      </c>
      <c r="F29" s="7" t="s">
        <v>46</v>
      </c>
      <c r="G29" s="7" t="s">
        <v>108</v>
      </c>
      <c r="H29" s="7">
        <v>134</v>
      </c>
      <c r="I29" s="12" t="str">
        <f>IF(H29="", "", IF(AND(H29&gt;=D29, H29&lt;=E29), "Normal (Verificar fórmula com FC)", IF(H29&lt;D29, "Encurtado", "Prolongado")))</f>
        <v>Encurtado</v>
      </c>
      <c r="J29" s="7" t="s">
        <v>109</v>
      </c>
      <c r="N29" s="10"/>
    </row>
    <row r="30" ht="70.25" customHeight="1">
      <c r="A30" s="7" t="s">
        <v>110</v>
      </c>
      <c r="B30" s="7" t="s">
        <v>24</v>
      </c>
      <c r="C30" s="7" t="s">
        <v>111</v>
      </c>
      <c r="D30" s="7">
        <v>-1</v>
      </c>
      <c r="E30" s="7">
        <v>1</v>
      </c>
      <c r="F30" s="7" t="s">
        <v>38</v>
      </c>
      <c r="G30" s="7" t="s">
        <v>112</v>
      </c>
      <c r="H30" s="7"/>
      <c r="I30" s="12" t="str">
        <f>IF(H30="", "", IF(AND(H30&gt;=D30, H30&lt;=E30), "Normal", "Alterada (Amplitude fora do esperado)"))</f>
        <v/>
      </c>
      <c r="J30" s="6" t="s">
        <v>113</v>
      </c>
      <c r="N30" s="10"/>
    </row>
    <row r="31" ht="36.65" customHeight="1">
      <c r="A31" s="7" t="s">
        <v>110</v>
      </c>
      <c r="B31" s="7" t="s">
        <v>19</v>
      </c>
      <c r="C31" s="7" t="s">
        <v>114</v>
      </c>
      <c r="D31" s="7" t="s">
        <v>115</v>
      </c>
      <c r="E31" s="7" t="s">
        <v>116</v>
      </c>
      <c r="F31" s="7" t="s">
        <v>38</v>
      </c>
      <c r="G31" s="7" t="s">
        <v>117</v>
      </c>
      <c r="H31" s="7">
        <v>0.050000000000000003</v>
      </c>
      <c r="I31" s="12" t="str">
        <f>IF(H31="", "", IF(AND(H31&gt;=D31, H31&lt;=E31), "Normal", "Alterada (Amplitude fora do esperado)"))</f>
        <v>Alterada (Amplitude fora do esperado)</v>
      </c>
      <c r="J31" s="7" t="s">
        <v>118</v>
      </c>
      <c r="N31" s="10"/>
    </row>
    <row r="32" ht="61.75" customHeight="1">
      <c r="A32" s="7" t="s">
        <v>119</v>
      </c>
      <c r="B32" s="7" t="s">
        <v>24</v>
      </c>
      <c r="C32" s="7" t="s">
        <v>120</v>
      </c>
      <c r="D32" s="7" t="s">
        <v>28</v>
      </c>
      <c r="E32" s="7" t="s">
        <v>28</v>
      </c>
      <c r="F32" s="7" t="s">
        <v>28</v>
      </c>
      <c r="G32" s="7" t="s">
        <v>121</v>
      </c>
      <c r="H32" s="7"/>
      <c r="I32" s="12" t="str">
        <f>IF(H32="","","Avaliação qualitativa (verificar exceções)")</f>
        <v/>
      </c>
      <c r="J32" s="7" t="s">
        <v>122</v>
      </c>
      <c r="N32" s="10"/>
    </row>
    <row r="33" ht="32.4" customHeight="1">
      <c r="A33" s="7" t="s">
        <v>119</v>
      </c>
      <c r="B33" s="7" t="s">
        <v>19</v>
      </c>
      <c r="C33" s="7" t="s">
        <v>123</v>
      </c>
      <c r="D33" s="7" t="s">
        <v>28</v>
      </c>
      <c r="E33" s="7" t="s">
        <v>28</v>
      </c>
      <c r="F33" s="7" t="s">
        <v>28</v>
      </c>
      <c r="G33" s="7" t="s">
        <v>124</v>
      </c>
      <c r="H33" s="7"/>
      <c r="I33" s="12" t="str">
        <f>IF(H33="","","Avaliação qualitativa")</f>
        <v/>
      </c>
      <c r="J33" s="7" t="s">
        <v>125</v>
      </c>
      <c r="N33" s="10"/>
    </row>
    <row r="34" ht="30.6">
      <c r="A34" s="7" t="s">
        <v>126</v>
      </c>
      <c r="B34" s="7" t="s">
        <v>24</v>
      </c>
      <c r="C34" s="7" t="s">
        <v>127</v>
      </c>
      <c r="D34" s="7"/>
      <c r="E34" s="7" t="s">
        <v>128</v>
      </c>
      <c r="F34" s="7" t="s">
        <v>38</v>
      </c>
      <c r="G34" s="7" t="s">
        <v>129</v>
      </c>
      <c r="H34" s="7"/>
      <c r="I34" s="12" t="str">
        <f>IF(H34="", "", IF(OR(UPPER(H34)="AUSENTE", H34&lt;E34), "Normal/Ausente", "Proeminente"))</f>
        <v/>
      </c>
      <c r="J34" s="6" t="s">
        <v>130</v>
      </c>
      <c r="N34" s="10"/>
    </row>
    <row r="35">
      <c r="A35" s="10"/>
      <c r="I35" s="16"/>
      <c r="N35" s="10"/>
    </row>
    <row r="36">
      <c r="A36" s="10"/>
      <c r="N36" s="10"/>
    </row>
    <row r="37">
      <c r="A37" s="10"/>
      <c r="N37" s="10"/>
    </row>
    <row r="38">
      <c r="A38" s="10"/>
      <c r="N38" s="10"/>
    </row>
    <row r="39">
      <c r="A39" s="10"/>
      <c r="N39" s="10"/>
    </row>
    <row r="40">
      <c r="A40" s="10"/>
      <c r="N40" s="10"/>
    </row>
    <row r="41">
      <c r="A41" s="10"/>
      <c r="N41" s="10"/>
    </row>
    <row r="42">
      <c r="A42" s="10"/>
      <c r="N42" s="10"/>
    </row>
    <row r="43">
      <c r="A43" s="10"/>
      <c r="N43" s="10"/>
    </row>
    <row r="44">
      <c r="A44" s="10"/>
      <c r="N44" s="10"/>
    </row>
    <row r="45">
      <c r="A45" s="10"/>
      <c r="N45" s="10"/>
    </row>
    <row r="46">
      <c r="A46" s="10"/>
      <c r="N46" s="10"/>
    </row>
    <row r="47">
      <c r="A47" s="10"/>
      <c r="N47" s="10"/>
    </row>
    <row r="48">
      <c r="A48" s="10"/>
      <c r="N48" s="10"/>
    </row>
    <row r="49">
      <c r="A49" s="10"/>
      <c r="N49" s="10"/>
    </row>
    <row r="50">
      <c r="A50" s="10"/>
      <c r="N50" s="10"/>
    </row>
    <row r="51">
      <c r="A51" s="10"/>
      <c r="N51" s="10"/>
    </row>
    <row r="52">
      <c r="A52" s="10"/>
      <c r="N52" s="10"/>
    </row>
    <row r="53">
      <c r="A53" s="10"/>
      <c r="N53" s="10"/>
    </row>
    <row r="54">
      <c r="A54" s="10"/>
      <c r="N54" s="10"/>
    </row>
    <row r="55">
      <c r="A55" s="10"/>
      <c r="N55" s="10"/>
    </row>
    <row r="56">
      <c r="A56" s="10"/>
      <c r="N56" s="10"/>
    </row>
    <row r="57">
      <c r="A57" s="10"/>
      <c r="N57" s="10"/>
    </row>
    <row r="58">
      <c r="A58" s="10"/>
      <c r="N58" s="10"/>
    </row>
    <row r="59">
      <c r="A59" s="10"/>
      <c r="N59" s="10"/>
    </row>
    <row r="60">
      <c r="A60" s="10"/>
      <c r="N60" s="10"/>
    </row>
    <row r="61">
      <c r="A61" s="10"/>
      <c r="N61" s="10"/>
    </row>
    <row r="62">
      <c r="A62" s="10"/>
      <c r="N62" s="10"/>
    </row>
    <row r="63">
      <c r="A63" s="10"/>
      <c r="N63" s="10"/>
    </row>
    <row r="64">
      <c r="A64" s="10"/>
      <c r="N64" s="10"/>
    </row>
    <row r="65">
      <c r="A65" s="10"/>
      <c r="N65" s="10"/>
    </row>
    <row r="66">
      <c r="A66" s="10"/>
      <c r="N66" s="10"/>
    </row>
    <row r="67">
      <c r="A67" s="10"/>
      <c r="N67" s="10"/>
    </row>
    <row r="68">
      <c r="A68" s="10"/>
      <c r="N68" s="10"/>
    </row>
    <row r="69">
      <c r="A69" s="10"/>
      <c r="N69" s="10"/>
    </row>
    <row r="70">
      <c r="A70" s="10"/>
      <c r="N70" s="10"/>
    </row>
    <row r="71">
      <c r="A71" s="10"/>
      <c r="N71" s="10"/>
    </row>
    <row r="72">
      <c r="A72" s="10"/>
      <c r="N72" s="10"/>
    </row>
    <row r="73">
      <c r="A73" s="10"/>
      <c r="N73" s="10"/>
    </row>
    <row r="74">
      <c r="A74" s="10"/>
      <c r="N74" s="10"/>
    </row>
    <row r="75">
      <c r="A75" s="10"/>
      <c r="N75" s="10"/>
    </row>
    <row r="76">
      <c r="A76" s="10"/>
      <c r="N76" s="10"/>
    </row>
    <row r="77">
      <c r="A77" s="10"/>
      <c r="N77" s="10"/>
    </row>
    <row r="78">
      <c r="A78" s="10"/>
      <c r="N78" s="10"/>
    </row>
    <row r="79">
      <c r="A79" s="10"/>
      <c r="N79" s="10"/>
    </row>
    <row r="80">
      <c r="A80" s="10"/>
      <c r="N80" s="10"/>
    </row>
    <row r="81">
      <c r="A81" s="10"/>
      <c r="N81" s="10"/>
    </row>
    <row r="82">
      <c r="A82" s="10"/>
      <c r="N82" s="10"/>
    </row>
    <row r="83">
      <c r="A83" s="10"/>
      <c r="N83" s="10"/>
    </row>
    <row r="84">
      <c r="A84" s="10"/>
      <c r="N84" s="10"/>
    </row>
    <row r="85">
      <c r="A85" s="10"/>
      <c r="N85" s="10"/>
    </row>
    <row r="86">
      <c r="A86" s="10"/>
      <c r="N86" s="10"/>
    </row>
    <row r="87">
      <c r="A87" s="10"/>
      <c r="N87" s="10"/>
    </row>
    <row r="88">
      <c r="A88" s="10"/>
      <c r="N88" s="10"/>
    </row>
    <row r="89">
      <c r="A89" s="10"/>
      <c r="N89" s="10"/>
    </row>
    <row r="90">
      <c r="A90" s="10"/>
      <c r="N90" s="10"/>
    </row>
    <row r="91">
      <c r="A91" s="10"/>
      <c r="N91" s="10"/>
    </row>
    <row r="92">
      <c r="A92" s="10"/>
      <c r="N92" s="10"/>
    </row>
    <row r="93">
      <c r="A93" s="10"/>
      <c r="N93" s="10"/>
    </row>
    <row r="94">
      <c r="A94" s="10"/>
      <c r="N94" s="10"/>
    </row>
    <row r="95">
      <c r="A95" s="10"/>
      <c r="N95" s="10"/>
    </row>
    <row r="96">
      <c r="A96" s="10"/>
      <c r="N96" s="10"/>
    </row>
    <row r="97">
      <c r="A97" s="10"/>
      <c r="N97" s="10"/>
    </row>
    <row r="98">
      <c r="A98" s="10"/>
      <c r="N98" s="10"/>
    </row>
    <row r="99">
      <c r="A99" s="10"/>
      <c r="N99" s="10"/>
    </row>
    <row r="100">
      <c r="A100" s="10"/>
      <c r="N100" s="10"/>
    </row>
    <row r="101">
      <c r="A101" s="10"/>
      <c r="N101" s="10"/>
    </row>
    <row r="102">
      <c r="A102" s="10"/>
      <c r="N102" s="10"/>
    </row>
    <row r="103">
      <c r="A103" s="10"/>
      <c r="N103" s="10"/>
    </row>
    <row r="104">
      <c r="A104" s="10"/>
      <c r="N104" s="10"/>
    </row>
    <row r="105">
      <c r="A105" s="10"/>
      <c r="N105" s="10"/>
    </row>
    <row r="106">
      <c r="A106" s="10"/>
      <c r="N106" s="10"/>
    </row>
    <row r="107">
      <c r="A107" s="10"/>
      <c r="N107" s="10"/>
    </row>
    <row r="108">
      <c r="A108" s="10"/>
      <c r="N108" s="10"/>
    </row>
    <row r="109">
      <c r="A109" s="10"/>
      <c r="N109" s="10"/>
    </row>
    <row r="110">
      <c r="A110" s="10"/>
      <c r="N110" s="10"/>
    </row>
    <row r="111">
      <c r="A111" s="10"/>
      <c r="N111" s="10"/>
    </row>
    <row r="112">
      <c r="A112" s="10"/>
      <c r="N112" s="10"/>
    </row>
    <row r="113">
      <c r="A113" s="10"/>
      <c r="N113" s="10"/>
    </row>
    <row r="114">
      <c r="A114" s="10"/>
      <c r="N114" s="10"/>
    </row>
    <row r="115">
      <c r="A115" s="10"/>
      <c r="N115" s="10"/>
    </row>
    <row r="116">
      <c r="A116" s="10"/>
      <c r="N116" s="10"/>
    </row>
    <row r="117">
      <c r="A117" s="10"/>
      <c r="N117" s="10"/>
    </row>
    <row r="118">
      <c r="A118" s="10"/>
      <c r="N118" s="10"/>
    </row>
    <row r="119">
      <c r="A119" s="10"/>
      <c r="N119" s="10"/>
    </row>
    <row r="120">
      <c r="A120" s="10"/>
      <c r="N120" s="10"/>
    </row>
    <row r="121">
      <c r="A121" s="10"/>
      <c r="N121" s="10"/>
    </row>
    <row r="122">
      <c r="A122" s="10"/>
      <c r="N122" s="10"/>
    </row>
    <row r="123">
      <c r="A123" s="10"/>
      <c r="N123" s="10"/>
    </row>
    <row r="124">
      <c r="A124" s="10"/>
      <c r="N124" s="10"/>
    </row>
    <row r="125">
      <c r="A125" s="10"/>
      <c r="N125" s="10"/>
    </row>
    <row r="126">
      <c r="A126" s="10"/>
      <c r="N126" s="10"/>
    </row>
    <row r="127">
      <c r="A127" s="10"/>
      <c r="N127" s="10"/>
    </row>
    <row r="128">
      <c r="A128" s="10"/>
      <c r="N128" s="10"/>
    </row>
    <row r="129" ht="15.5">
      <c r="A129" s="10"/>
      <c r="N129" s="10"/>
    </row>
    <row r="130" ht="15.5">
      <c r="A130" s="10"/>
      <c r="N130" s="10"/>
    </row>
    <row r="131" ht="15.5">
      <c r="A131" s="10"/>
      <c r="N131" s="10"/>
    </row>
    <row r="132" ht="15.5">
      <c r="A132" s="10"/>
      <c r="N132" s="10"/>
    </row>
    <row r="133" ht="15.5">
      <c r="A133" s="10"/>
      <c r="N133" s="10"/>
    </row>
    <row r="134" ht="15.5">
      <c r="A134" s="10"/>
      <c r="N134" s="10"/>
    </row>
    <row r="135" ht="15.5">
      <c r="A135" s="10"/>
      <c r="N135" s="10"/>
    </row>
    <row r="136" ht="15.5">
      <c r="A136" s="10"/>
      <c r="N136" s="10"/>
    </row>
    <row r="137" ht="15.5">
      <c r="A137" s="10"/>
      <c r="N137" s="10"/>
    </row>
    <row r="138" ht="15.5">
      <c r="A138" s="10"/>
      <c r="N138" s="10"/>
    </row>
    <row r="139" ht="15.5">
      <c r="A139" s="10"/>
      <c r="N139" s="10"/>
    </row>
    <row r="140" ht="15.5">
      <c r="A140" s="10"/>
      <c r="N140" s="10"/>
    </row>
    <row r="141" ht="15.5">
      <c r="A141" s="10"/>
      <c r="N141" s="10"/>
    </row>
    <row r="142" ht="15.5">
      <c r="A142" s="10"/>
      <c r="N142" s="10"/>
    </row>
    <row r="143" ht="15.5">
      <c r="A143" s="10"/>
      <c r="N143" s="10"/>
    </row>
    <row r="144" ht="15.5">
      <c r="A144" s="10"/>
      <c r="N144" s="10"/>
    </row>
    <row r="145" ht="15.5">
      <c r="A145" s="10"/>
      <c r="N145" s="10"/>
    </row>
    <row r="146" ht="15.5">
      <c r="A146" s="10"/>
      <c r="N146" s="10"/>
    </row>
    <row r="147" ht="15.5">
      <c r="A147" s="10"/>
      <c r="N147" s="10"/>
    </row>
    <row r="148" ht="15.5">
      <c r="A148" s="10"/>
      <c r="N148" s="10"/>
    </row>
    <row r="149" ht="15.5">
      <c r="A149" s="10"/>
      <c r="N149" s="10"/>
    </row>
    <row r="150" ht="15.5">
      <c r="A150" s="10"/>
      <c r="N150" s="10"/>
    </row>
    <row r="151" ht="15.5">
      <c r="A151" s="10"/>
      <c r="N151" s="10"/>
    </row>
    <row r="152" ht="15.5">
      <c r="A152" s="10"/>
      <c r="N152" s="10"/>
    </row>
    <row r="153" ht="15.5">
      <c r="A153" s="10"/>
      <c r="N153" s="10"/>
    </row>
    <row r="154" ht="15.5">
      <c r="A154" s="10"/>
      <c r="N154" s="10"/>
    </row>
    <row r="155" ht="15.5">
      <c r="A155" s="10"/>
      <c r="N155" s="10"/>
    </row>
    <row r="156" ht="15.5">
      <c r="A156" s="10"/>
      <c r="N156" s="10"/>
    </row>
    <row r="157" ht="15.5">
      <c r="A157" s="10"/>
      <c r="N157" s="10"/>
    </row>
    <row r="158" ht="15.5">
      <c r="A158" s="10"/>
      <c r="N158" s="10"/>
    </row>
    <row r="159" ht="15.5">
      <c r="A159" s="10"/>
      <c r="N159" s="10"/>
    </row>
    <row r="160" ht="15.5">
      <c r="A160" s="10"/>
      <c r="N160" s="10"/>
    </row>
    <row r="161" ht="15.5">
      <c r="A161" s="10"/>
      <c r="N161" s="10"/>
    </row>
    <row r="162" ht="15.5">
      <c r="A162" s="10"/>
      <c r="N162" s="10"/>
    </row>
    <row r="163" ht="15.5">
      <c r="A163" s="10"/>
      <c r="N163" s="10"/>
    </row>
    <row r="164" ht="15.5">
      <c r="A164" s="10"/>
      <c r="N164" s="10"/>
    </row>
    <row r="165" ht="15.5">
      <c r="A165" s="10"/>
      <c r="N165" s="10"/>
    </row>
    <row r="166" ht="15.5">
      <c r="A166" s="10"/>
      <c r="N166" s="10"/>
    </row>
    <row r="167" ht="15.5">
      <c r="A167" s="10"/>
      <c r="N167" s="10"/>
    </row>
    <row r="168" ht="15.5">
      <c r="A168" s="10"/>
      <c r="N168" s="10"/>
    </row>
    <row r="169" ht="15.5">
      <c r="A169" s="10"/>
      <c r="N169" s="10"/>
    </row>
    <row r="170" ht="15.5">
      <c r="A170" s="10"/>
      <c r="N170" s="10"/>
    </row>
    <row r="171" ht="15.5">
      <c r="A171" s="10"/>
      <c r="N171" s="10"/>
    </row>
    <row r="172" ht="15.5">
      <c r="A172" s="10"/>
      <c r="N172" s="10"/>
    </row>
    <row r="173" ht="15.5">
      <c r="A173" s="10"/>
      <c r="N173" s="10"/>
    </row>
    <row r="174" ht="15.5">
      <c r="A174" s="10"/>
      <c r="N174" s="10"/>
    </row>
    <row r="175" ht="15.5">
      <c r="A175" s="10"/>
      <c r="N175" s="10"/>
    </row>
    <row r="176" ht="15.5">
      <c r="A176" s="10"/>
      <c r="N176" s="10"/>
    </row>
    <row r="177" ht="15.5">
      <c r="A177" s="10"/>
      <c r="N177" s="10"/>
    </row>
    <row r="178" ht="15.5">
      <c r="A178" s="10"/>
      <c r="N178" s="10"/>
    </row>
    <row r="179" ht="15.5">
      <c r="A179" s="10"/>
      <c r="N179" s="10"/>
    </row>
    <row r="180" ht="15.5">
      <c r="A180" s="10"/>
      <c r="N180" s="10"/>
    </row>
    <row r="181" ht="15.5">
      <c r="A181" s="10"/>
      <c r="N181" s="10"/>
    </row>
    <row r="182" ht="15.5">
      <c r="A182" s="10"/>
      <c r="N182" s="10"/>
    </row>
    <row r="183" ht="15.5">
      <c r="A183" s="10"/>
      <c r="N183" s="10"/>
    </row>
    <row r="184" ht="15.5">
      <c r="A184" s="10"/>
      <c r="N184" s="10"/>
    </row>
    <row r="185" ht="15.5">
      <c r="A185" s="10"/>
      <c r="N185" s="10"/>
    </row>
    <row r="186" ht="15.5">
      <c r="A186" s="10"/>
      <c r="N186" s="10"/>
    </row>
    <row r="187" ht="15.5">
      <c r="A187" s="10"/>
      <c r="N187" s="10"/>
    </row>
    <row r="188" ht="15.5">
      <c r="A188" s="10"/>
      <c r="N188" s="10"/>
    </row>
    <row r="189" ht="15.5">
      <c r="A189" s="10"/>
      <c r="N189" s="10"/>
    </row>
    <row r="190" ht="15.5">
      <c r="A190" s="10"/>
      <c r="N190" s="10"/>
    </row>
    <row r="191" ht="15.5">
      <c r="A191" s="10"/>
      <c r="N191" s="10"/>
    </row>
    <row r="192" ht="15.5">
      <c r="A192" s="10"/>
      <c r="N192" s="10"/>
    </row>
    <row r="193" ht="15.5">
      <c r="A193" s="10"/>
      <c r="N193" s="10"/>
    </row>
    <row r="194" ht="15.5">
      <c r="A194" s="10"/>
      <c r="N194" s="10"/>
    </row>
    <row r="195" ht="15.5">
      <c r="A195" s="10"/>
      <c r="N195" s="10"/>
    </row>
    <row r="196" ht="15.5">
      <c r="A196" s="10"/>
      <c r="N196" s="10"/>
    </row>
    <row r="197" ht="15.5">
      <c r="A197" s="10"/>
      <c r="N197" s="10"/>
    </row>
    <row r="198" ht="15.5">
      <c r="A198" s="10"/>
      <c r="N198" s="10"/>
    </row>
    <row r="199" ht="15.5">
      <c r="A199" s="10"/>
      <c r="N199" s="10"/>
    </row>
    <row r="200" ht="15.5">
      <c r="A200" s="10"/>
      <c r="N200" s="10"/>
    </row>
    <row r="201" ht="15.5">
      <c r="A201" s="10"/>
      <c r="N201" s="10"/>
    </row>
    <row r="202" ht="15.5">
      <c r="A202" s="10"/>
      <c r="N202" s="10"/>
    </row>
    <row r="203" ht="15.5">
      <c r="A203" s="10"/>
      <c r="N203" s="10"/>
    </row>
    <row r="204" ht="15.5">
      <c r="A204" s="10"/>
      <c r="N204" s="10"/>
    </row>
    <row r="205" ht="15.5">
      <c r="A205" s="10"/>
      <c r="N205" s="10"/>
    </row>
    <row r="206" ht="15.5">
      <c r="A206" s="10"/>
      <c r="N206" s="10"/>
    </row>
    <row r="207" ht="15.5">
      <c r="A207" s="10"/>
      <c r="N207" s="10"/>
    </row>
    <row r="208" ht="15.5">
      <c r="A208" s="10"/>
      <c r="N208" s="10"/>
    </row>
    <row r="209" ht="15.5">
      <c r="A209" s="10"/>
      <c r="N209" s="10"/>
    </row>
    <row r="210" ht="15.5">
      <c r="A210" s="10"/>
      <c r="N210" s="10"/>
    </row>
    <row r="211" ht="15.5">
      <c r="A211" s="10"/>
      <c r="N211" s="10"/>
    </row>
    <row r="212" ht="15.5">
      <c r="A212" s="10"/>
      <c r="N212" s="10"/>
    </row>
    <row r="213" ht="15.5">
      <c r="A213" s="10"/>
      <c r="N213" s="10"/>
    </row>
    <row r="214" ht="15.5">
      <c r="A214" s="10"/>
      <c r="N214" s="10"/>
    </row>
    <row r="215" ht="15.5">
      <c r="A215" s="10"/>
      <c r="N215" s="10"/>
    </row>
    <row r="216" ht="15.5">
      <c r="A216" s="10"/>
      <c r="N216" s="10"/>
    </row>
    <row r="217" ht="15.5">
      <c r="A217" s="10"/>
      <c r="N217" s="10"/>
    </row>
    <row r="218" ht="15.5">
      <c r="A218" s="10"/>
      <c r="N218" s="10"/>
    </row>
    <row r="219" ht="15.5">
      <c r="A219" s="10"/>
      <c r="N219" s="10"/>
    </row>
    <row r="220" ht="15.5">
      <c r="A220" s="10"/>
      <c r="N220" s="10"/>
    </row>
    <row r="221" ht="15.5">
      <c r="A221" s="10"/>
      <c r="N221" s="10"/>
    </row>
    <row r="222" ht="15.5">
      <c r="A222" s="10"/>
      <c r="N222" s="10"/>
    </row>
    <row r="223" ht="15.5">
      <c r="A223" s="10"/>
      <c r="N223" s="10"/>
    </row>
    <row r="224" ht="15.5">
      <c r="A224" s="10"/>
      <c r="N224" s="10"/>
    </row>
    <row r="225" ht="15.5">
      <c r="A225" s="10"/>
      <c r="N225" s="10"/>
    </row>
    <row r="226" ht="15.5">
      <c r="A226" s="10"/>
      <c r="N226" s="10"/>
    </row>
    <row r="227" ht="15.5">
      <c r="A227" s="10"/>
      <c r="N227" s="10"/>
    </row>
    <row r="228" ht="15.5">
      <c r="A228" s="10"/>
      <c r="N228" s="10"/>
    </row>
    <row r="229" ht="15.5">
      <c r="A229" s="10"/>
      <c r="N229" s="10"/>
    </row>
    <row r="230" ht="15.5">
      <c r="A230" s="10"/>
      <c r="N230" s="10"/>
    </row>
    <row r="231" ht="15.5">
      <c r="A231" s="10"/>
      <c r="N231" s="10"/>
    </row>
    <row r="232" ht="15.5">
      <c r="A232" s="10"/>
      <c r="N232" s="10"/>
    </row>
    <row r="233" ht="15.5">
      <c r="A233" s="10"/>
      <c r="N233" s="10"/>
    </row>
    <row r="234" ht="15.5">
      <c r="A234" s="10"/>
      <c r="N234" s="10"/>
    </row>
    <row r="235" ht="15.5">
      <c r="A235" s="10"/>
      <c r="N235" s="10"/>
    </row>
    <row r="236" ht="15.5">
      <c r="A236" s="10"/>
      <c r="N236" s="10"/>
    </row>
    <row r="237" ht="15.5">
      <c r="A237" s="10"/>
      <c r="N237" s="10"/>
    </row>
    <row r="238" ht="15.5">
      <c r="A238" s="10"/>
      <c r="N238" s="10"/>
    </row>
    <row r="239" ht="15.5">
      <c r="A239" s="10"/>
      <c r="N239" s="10"/>
    </row>
    <row r="240" ht="15.5">
      <c r="A240" s="10"/>
      <c r="N240" s="10"/>
    </row>
    <row r="241" ht="15.5">
      <c r="A241" s="10"/>
      <c r="N241" s="10"/>
    </row>
    <row r="242" ht="15.5">
      <c r="A242" s="10"/>
      <c r="N242" s="10"/>
    </row>
    <row r="243" ht="15.5">
      <c r="A243" s="10"/>
      <c r="N243" s="10"/>
    </row>
    <row r="244" ht="15.5">
      <c r="A244" s="10"/>
      <c r="N244" s="10"/>
    </row>
    <row r="245" ht="15.5">
      <c r="A245" s="10"/>
      <c r="N245" s="10"/>
    </row>
    <row r="246" ht="15.5">
      <c r="A246" s="10"/>
      <c r="N246" s="10"/>
    </row>
    <row r="247" ht="15.5">
      <c r="A247" s="10"/>
      <c r="N247" s="10"/>
    </row>
    <row r="248" ht="15.5">
      <c r="A248" s="10"/>
      <c r="N248" s="10"/>
    </row>
    <row r="249" ht="15.5">
      <c r="A249" s="10"/>
      <c r="N249" s="10"/>
    </row>
    <row r="250" ht="15.5">
      <c r="A250" s="10"/>
      <c r="N250" s="10"/>
    </row>
    <row r="251" ht="15.5">
      <c r="A251" s="10"/>
      <c r="N251" s="10"/>
    </row>
    <row r="252" ht="15.5">
      <c r="A252" s="10"/>
      <c r="N252" s="10"/>
    </row>
    <row r="253" ht="15.5">
      <c r="A253" s="10"/>
      <c r="N253" s="10"/>
    </row>
    <row r="254" ht="15.5">
      <c r="A254" s="10"/>
      <c r="N254" s="10"/>
    </row>
    <row r="255" ht="15.5">
      <c r="A255" s="10"/>
      <c r="N255" s="10"/>
    </row>
    <row r="256" ht="15.5">
      <c r="A256" s="10"/>
      <c r="N256" s="10"/>
    </row>
    <row r="257" ht="15.5">
      <c r="A257" s="10"/>
      <c r="N257" s="10"/>
    </row>
    <row r="258" ht="15.5">
      <c r="A258" s="10"/>
      <c r="N258" s="10"/>
    </row>
    <row r="259" ht="15.5">
      <c r="A259" s="10"/>
      <c r="N259" s="10"/>
    </row>
    <row r="260" ht="15.5">
      <c r="A260" s="10"/>
      <c r="N260" s="10"/>
    </row>
    <row r="261" ht="15.5">
      <c r="A261" s="10"/>
      <c r="N261" s="10"/>
    </row>
    <row r="262" ht="15.5">
      <c r="A262" s="10"/>
      <c r="N262" s="10"/>
    </row>
    <row r="263" ht="15.5">
      <c r="A263" s="10"/>
      <c r="N263" s="10"/>
    </row>
    <row r="264" ht="15.5">
      <c r="A264" s="10"/>
      <c r="N264" s="10"/>
    </row>
    <row r="265" ht="15.5">
      <c r="A265" s="10"/>
      <c r="N265" s="10"/>
    </row>
    <row r="266" ht="15.5">
      <c r="A266" s="10"/>
      <c r="N266" s="10"/>
    </row>
    <row r="267" ht="15.5">
      <c r="A267" s="10"/>
      <c r="N267" s="10"/>
    </row>
    <row r="268" ht="15.5">
      <c r="A268" s="10"/>
      <c r="N268" s="10"/>
    </row>
    <row r="269" ht="15.5">
      <c r="A269" s="10"/>
      <c r="N269" s="10"/>
    </row>
    <row r="270" ht="15.5">
      <c r="A270" s="10"/>
      <c r="N270" s="10"/>
    </row>
    <row r="271" ht="15.5">
      <c r="A271" s="10"/>
      <c r="N271" s="10"/>
    </row>
    <row r="272" ht="15.5">
      <c r="A272" s="10"/>
      <c r="N272" s="10"/>
    </row>
    <row r="273" ht="15.5">
      <c r="A273" s="10"/>
      <c r="N273" s="10"/>
    </row>
    <row r="274" ht="15.5">
      <c r="A274" s="10"/>
      <c r="N274" s="10"/>
    </row>
    <row r="275" ht="15.5">
      <c r="A275" s="10"/>
      <c r="N275" s="10"/>
    </row>
    <row r="276" ht="15.5">
      <c r="A276" s="10"/>
      <c r="N276" s="10"/>
    </row>
    <row r="277" ht="15.5">
      <c r="A277" s="10"/>
      <c r="N277" s="10"/>
    </row>
    <row r="278" ht="15.5">
      <c r="A278" s="10"/>
      <c r="N278" s="10"/>
    </row>
    <row r="279" ht="15.5">
      <c r="A279" s="10"/>
      <c r="N279" s="10"/>
    </row>
    <row r="280" ht="15.5">
      <c r="A280" s="10"/>
      <c r="N280" s="10"/>
    </row>
    <row r="281" ht="15.5">
      <c r="A281" s="10"/>
      <c r="N281" s="10"/>
    </row>
    <row r="282" ht="15.5">
      <c r="A282" s="10"/>
      <c r="N282" s="10"/>
    </row>
    <row r="283" ht="15.5">
      <c r="A283" s="10"/>
      <c r="N283" s="10"/>
    </row>
    <row r="284" ht="15.5">
      <c r="A284" s="10"/>
      <c r="N284" s="10"/>
    </row>
    <row r="285" ht="15.5">
      <c r="A285" s="10"/>
      <c r="N285" s="10"/>
    </row>
    <row r="286" ht="15.5">
      <c r="A286" s="10"/>
      <c r="N286" s="10"/>
    </row>
    <row r="287" ht="15.5">
      <c r="A287" s="10"/>
      <c r="N287" s="10"/>
    </row>
    <row r="288" ht="15.5">
      <c r="A288" s="10"/>
      <c r="N288" s="10"/>
    </row>
    <row r="289" ht="15.5">
      <c r="A289" s="10"/>
      <c r="N289" s="10"/>
    </row>
    <row r="290" ht="15.5">
      <c r="A290" s="10"/>
      <c r="N290" s="10"/>
    </row>
    <row r="291" ht="15.5">
      <c r="A291" s="10"/>
      <c r="N291" s="10"/>
    </row>
    <row r="292" ht="15.5">
      <c r="A292" s="10"/>
      <c r="N292" s="10"/>
    </row>
    <row r="293" ht="15.5">
      <c r="A293" s="10"/>
      <c r="N293" s="10"/>
    </row>
    <row r="294" ht="15.5">
      <c r="A294" s="10"/>
      <c r="N294" s="10"/>
    </row>
    <row r="295" ht="15.5">
      <c r="A295" s="10"/>
      <c r="N295" s="10"/>
    </row>
    <row r="296" ht="15.5">
      <c r="A296" s="10"/>
      <c r="N296" s="10"/>
    </row>
    <row r="297" ht="15.5">
      <c r="A297" s="10"/>
      <c r="N297" s="10"/>
    </row>
    <row r="298" ht="15.5">
      <c r="A298" s="10"/>
      <c r="N298" s="10"/>
    </row>
    <row r="299" ht="15.5">
      <c r="A299" s="10"/>
      <c r="N299" s="10"/>
    </row>
    <row r="300" ht="15.5">
      <c r="A300" s="10"/>
      <c r="N300" s="10"/>
    </row>
    <row r="301" ht="15.5">
      <c r="A301" s="10"/>
      <c r="N301" s="10"/>
    </row>
    <row r="302" ht="15.5">
      <c r="A302" s="10"/>
      <c r="N302" s="10"/>
    </row>
    <row r="303" ht="15.5">
      <c r="A303" s="10"/>
      <c r="N303" s="10"/>
    </row>
    <row r="304" ht="15.5">
      <c r="A304" s="10"/>
      <c r="N304" s="10"/>
    </row>
    <row r="305" ht="15.5">
      <c r="A305" s="10"/>
      <c r="N305" s="10"/>
    </row>
    <row r="306" ht="15.5">
      <c r="A306" s="10"/>
      <c r="N306" s="10"/>
    </row>
    <row r="307" ht="15.5">
      <c r="A307" s="10"/>
      <c r="N307" s="10"/>
    </row>
    <row r="308" ht="15.5">
      <c r="A308" s="10"/>
      <c r="N308" s="10"/>
    </row>
    <row r="309" ht="15.5">
      <c r="A309" s="10"/>
      <c r="N309" s="10"/>
    </row>
    <row r="310" ht="15.5">
      <c r="A310" s="10"/>
      <c r="N310" s="10"/>
    </row>
    <row r="311" ht="15.5">
      <c r="A311" s="10"/>
      <c r="N311" s="10"/>
    </row>
    <row r="312" ht="15.5">
      <c r="A312" s="10"/>
      <c r="N312" s="10"/>
    </row>
    <row r="313" ht="15.5">
      <c r="A313" s="10"/>
      <c r="N313" s="10"/>
    </row>
    <row r="314" ht="15.5">
      <c r="A314" s="10"/>
      <c r="N314" s="10"/>
    </row>
    <row r="315" ht="15.5">
      <c r="A315" s="10"/>
      <c r="N315" s="10"/>
    </row>
    <row r="316" ht="15.5">
      <c r="A316" s="10"/>
      <c r="N316" s="10"/>
    </row>
    <row r="317" ht="15.5">
      <c r="A317" s="10"/>
      <c r="N317" s="10"/>
    </row>
    <row r="318" ht="15.5">
      <c r="A318" s="10"/>
      <c r="N318" s="10"/>
    </row>
    <row r="319" ht="15.5">
      <c r="A319" s="10"/>
      <c r="N319" s="10"/>
    </row>
    <row r="320" ht="15.5">
      <c r="A320" s="10"/>
      <c r="N320" s="10"/>
    </row>
    <row r="321" ht="15.5">
      <c r="A321" s="10"/>
      <c r="N321" s="10"/>
    </row>
    <row r="322" ht="15.5">
      <c r="A322" s="10"/>
      <c r="N322" s="10"/>
    </row>
    <row r="323" ht="15.5">
      <c r="A323" s="10"/>
      <c r="N323" s="10"/>
    </row>
    <row r="324" ht="15.5">
      <c r="A324" s="10"/>
      <c r="N324" s="10"/>
    </row>
    <row r="325" ht="15.5">
      <c r="A325" s="10"/>
      <c r="N325" s="10"/>
    </row>
    <row r="326" ht="15.5">
      <c r="A326" s="10"/>
      <c r="N326" s="10"/>
    </row>
    <row r="327" ht="15.5">
      <c r="A327" s="10"/>
      <c r="N327" s="10"/>
    </row>
    <row r="328" ht="15.5">
      <c r="A328" s="10"/>
      <c r="N328" s="10"/>
    </row>
    <row r="329" ht="15.5">
      <c r="A329" s="10"/>
      <c r="N329" s="10"/>
    </row>
    <row r="330" ht="15.5">
      <c r="A330" s="10"/>
      <c r="N330" s="10"/>
    </row>
    <row r="331" ht="15.5">
      <c r="A331" s="10"/>
      <c r="N331" s="10"/>
    </row>
    <row r="332" ht="15.5">
      <c r="A332" s="10"/>
      <c r="N332" s="10"/>
    </row>
    <row r="333" ht="15.5">
      <c r="A333" s="10"/>
      <c r="N333" s="10"/>
    </row>
    <row r="334" ht="15.5">
      <c r="A334" s="10"/>
      <c r="N334" s="10"/>
    </row>
    <row r="335" ht="15.5">
      <c r="A335" s="10"/>
      <c r="N335" s="10"/>
    </row>
    <row r="336" ht="15.5">
      <c r="A336" s="10"/>
      <c r="N336" s="10"/>
    </row>
    <row r="337" ht="15.5">
      <c r="A337" s="10"/>
      <c r="N337" s="10"/>
    </row>
    <row r="338" ht="15.5">
      <c r="A338" s="10"/>
      <c r="N338" s="10"/>
    </row>
    <row r="339" ht="15.5">
      <c r="A339" s="10"/>
      <c r="N339" s="10"/>
    </row>
    <row r="340" ht="15.5">
      <c r="A340" s="10"/>
      <c r="N340" s="10"/>
    </row>
    <row r="341" ht="15.5">
      <c r="A341" s="10"/>
      <c r="N341" s="10"/>
    </row>
    <row r="342" ht="15.5">
      <c r="A342" s="10"/>
      <c r="N342" s="10"/>
    </row>
    <row r="343" ht="15.5">
      <c r="A343" s="10"/>
      <c r="N343" s="10"/>
    </row>
    <row r="344" ht="15.5">
      <c r="A344" s="10"/>
      <c r="N344" s="10"/>
    </row>
    <row r="345" ht="15.5">
      <c r="A345" s="10"/>
      <c r="N345" s="10"/>
    </row>
    <row r="346" ht="15.5">
      <c r="A346" s="10"/>
      <c r="N346" s="10"/>
    </row>
    <row r="347" ht="15.5">
      <c r="A347" s="10"/>
      <c r="N347" s="10"/>
    </row>
    <row r="348" ht="15.5">
      <c r="A348" s="10"/>
      <c r="N348" s="10"/>
    </row>
    <row r="349" ht="15.5">
      <c r="A349" s="10"/>
      <c r="N349" s="10"/>
    </row>
    <row r="350" ht="15.5">
      <c r="A350" s="10"/>
      <c r="N350" s="10"/>
    </row>
    <row r="351" ht="15.5">
      <c r="A351" s="10"/>
      <c r="N351" s="10"/>
    </row>
    <row r="352" ht="15.5">
      <c r="A352" s="10"/>
      <c r="N352" s="10"/>
    </row>
    <row r="353" ht="15.5">
      <c r="A353" s="10"/>
      <c r="N353" s="10"/>
    </row>
    <row r="354" ht="15.5">
      <c r="A354" s="10"/>
      <c r="N354" s="10"/>
    </row>
    <row r="355" ht="15.5">
      <c r="A355" s="10"/>
      <c r="N355" s="10"/>
    </row>
    <row r="356" ht="15.5">
      <c r="A356" s="10"/>
      <c r="N356" s="10"/>
    </row>
    <row r="357" ht="15.5">
      <c r="A357" s="10"/>
      <c r="N357" s="10"/>
    </row>
    <row r="358" ht="15.5">
      <c r="A358" s="10"/>
      <c r="N358" s="10"/>
    </row>
    <row r="359" ht="15.5">
      <c r="A359" s="10"/>
      <c r="N359" s="10"/>
    </row>
    <row r="360" ht="15.5">
      <c r="A360" s="10"/>
      <c r="N360" s="10"/>
    </row>
    <row r="361" ht="15.5">
      <c r="A361" s="10"/>
      <c r="N361" s="10"/>
    </row>
    <row r="362" ht="15.5">
      <c r="A362" s="10"/>
      <c r="N362" s="10"/>
    </row>
    <row r="363" ht="15.5">
      <c r="A363" s="10"/>
      <c r="N363" s="10"/>
    </row>
    <row r="364" ht="15.5">
      <c r="A364" s="10"/>
      <c r="N364" s="10"/>
    </row>
    <row r="365" ht="15.5">
      <c r="A365" s="10"/>
      <c r="N365" s="10"/>
    </row>
    <row r="366" ht="15.5">
      <c r="A366" s="10"/>
      <c r="N366" s="10"/>
    </row>
    <row r="367" ht="15.5">
      <c r="A367" s="10"/>
      <c r="N367" s="10"/>
    </row>
    <row r="368" ht="15.5">
      <c r="A368" s="10"/>
      <c r="N368" s="10"/>
    </row>
    <row r="369" ht="15.5">
      <c r="A369" s="10"/>
      <c r="N369" s="10"/>
    </row>
    <row r="370" ht="15.5">
      <c r="A370" s="10"/>
      <c r="N370" s="10"/>
    </row>
    <row r="371" ht="15.5">
      <c r="A371" s="10"/>
      <c r="N371" s="10"/>
    </row>
    <row r="372" ht="15.5">
      <c r="A372" s="10"/>
      <c r="N372" s="10"/>
    </row>
    <row r="373" ht="15.5">
      <c r="A373" s="10"/>
      <c r="N373" s="10"/>
    </row>
    <row r="374" ht="15.5">
      <c r="A374" s="10"/>
      <c r="N374" s="10"/>
    </row>
    <row r="375" ht="15.5">
      <c r="A375" s="10"/>
      <c r="N375" s="10"/>
    </row>
    <row r="376" ht="15.5">
      <c r="A376" s="10"/>
      <c r="N376" s="10"/>
    </row>
    <row r="377" ht="15.5">
      <c r="A377" s="10"/>
      <c r="N377" s="10"/>
    </row>
    <row r="378" ht="15.5">
      <c r="A378" s="10"/>
      <c r="N378" s="10"/>
    </row>
    <row r="379" ht="15.5">
      <c r="A379" s="10"/>
      <c r="N379" s="10"/>
    </row>
    <row r="380" ht="15.5">
      <c r="A380" s="10"/>
      <c r="N380" s="10"/>
    </row>
    <row r="381" ht="15.5">
      <c r="A381" s="10"/>
      <c r="N381" s="10"/>
    </row>
    <row r="382" ht="15.5">
      <c r="A382" s="10"/>
      <c r="N382" s="10"/>
    </row>
    <row r="383" ht="15.5">
      <c r="A383" s="10"/>
      <c r="N383" s="10"/>
    </row>
    <row r="384" ht="15.5">
      <c r="A384" s="10"/>
      <c r="N384" s="10"/>
    </row>
    <row r="385" ht="15.5">
      <c r="A385" s="10"/>
      <c r="N385" s="10"/>
    </row>
    <row r="386" ht="15.5">
      <c r="A386" s="10"/>
      <c r="N386" s="10"/>
    </row>
    <row r="387" ht="15.5">
      <c r="A387" s="10"/>
      <c r="N387" s="10"/>
    </row>
    <row r="388" ht="15.5">
      <c r="A388" s="10"/>
      <c r="N388" s="10"/>
    </row>
    <row r="389" ht="15.5">
      <c r="A389" s="10"/>
      <c r="N389" s="10"/>
    </row>
    <row r="390" ht="15.5">
      <c r="A390" s="10"/>
      <c r="N390" s="10"/>
    </row>
    <row r="391" ht="15.5">
      <c r="A391" s="10"/>
      <c r="N391" s="10"/>
    </row>
    <row r="392" ht="15.5">
      <c r="A392" s="10"/>
      <c r="N392" s="10"/>
    </row>
    <row r="393" ht="15.5">
      <c r="A393" s="10"/>
      <c r="N393" s="10"/>
    </row>
    <row r="394" ht="15.5">
      <c r="A394" s="10"/>
      <c r="N394" s="10"/>
    </row>
    <row r="395" ht="15.5">
      <c r="A395" s="10"/>
      <c r="N395" s="10"/>
    </row>
    <row r="396" ht="15.5">
      <c r="A396" s="10"/>
      <c r="N396" s="10"/>
    </row>
    <row r="397" ht="15.5">
      <c r="A397" s="10"/>
      <c r="N397" s="10"/>
    </row>
    <row r="398" ht="15.5">
      <c r="A398" s="10"/>
      <c r="N398" s="10"/>
    </row>
    <row r="399" ht="15.5">
      <c r="A399" s="10"/>
      <c r="N399" s="10"/>
    </row>
    <row r="400" ht="15.5">
      <c r="A400" s="10"/>
      <c r="N400" s="10"/>
    </row>
    <row r="401" ht="15.5">
      <c r="A401" s="10"/>
      <c r="N401" s="10"/>
    </row>
    <row r="402" ht="15.5">
      <c r="A402" s="10"/>
      <c r="N402" s="10"/>
    </row>
    <row r="403" ht="15.5">
      <c r="A403" s="10"/>
      <c r="N403" s="10"/>
    </row>
    <row r="404" ht="15.5">
      <c r="A404" s="9"/>
      <c r="N404" s="10"/>
    </row>
    <row r="405" ht="15.5">
      <c r="N405" s="10"/>
    </row>
    <row r="406" ht="15.5">
      <c r="N406" s="10"/>
    </row>
    <row r="407" ht="15.5">
      <c r="N407" s="10"/>
    </row>
    <row r="408" ht="15.5">
      <c r="N408" s="10"/>
    </row>
    <row r="409" ht="15.5">
      <c r="N409" s="10"/>
    </row>
    <row r="410" ht="15.5">
      <c r="N410" s="10"/>
    </row>
    <row r="411" ht="15.5">
      <c r="N411" s="10"/>
    </row>
    <row r="412" ht="15.5">
      <c r="N412" s="9"/>
    </row>
  </sheetData>
  <printOptions horizontalCentered="1" verticalCentered="1"/>
  <pageMargins left="0.3152778" right="0.3152778" top="0.39375" bottom="0.39375" header="0.1965278" footer="0.1180556"/>
  <pageSetup r:id="rId1" paperSize="9" orientation="landscape" scale="54" fitToHeight="2"/>
  <tableParts count="1">
    <tablePart r:id="rId2"/>
  </tableParts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Saulo Vital Neves da Paz</dc:creator>
  <cp:lastModifiedBy>Saulo Vital Neves da Paz</cp:lastModifiedBy>
  <cp:lastPrinted>2025-06-01T19:54:30Z</cp:lastPrinted>
  <dcterms:created xsi:type="dcterms:W3CDTF">2025-06-01T17:12:47Z</dcterms:created>
  <dcterms:modified xsi:type="dcterms:W3CDTF">2025-10-14T02:51:21Z</dcterms:modified>
</cp:coreProperties>
</file>